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I_cluster\SYLA\Urf_8MV\INJECT\kluster\OptimInj\7_eq_inj_SXT_14mm_one_turn_trajs\to_Samarin\"/>
    </mc:Choice>
  </mc:AlternateContent>
  <bookViews>
    <workbookView xWindow="0" yWindow="0" windowWidth="29460" windowHeight="12040"/>
  </bookViews>
  <sheets>
    <sheet name="Лист1" sheetId="1" r:id="rId1"/>
  </sheets>
  <definedNames>
    <definedName name="RING2xlx" localSheetId="0">Лист1!$A$2:$G$2204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37" i="1" l="1"/>
  <c r="G2082" i="1"/>
  <c r="G2027" i="1"/>
  <c r="G1972" i="1"/>
  <c r="G1917" i="1"/>
  <c r="G1862" i="1"/>
  <c r="G1807" i="1"/>
  <c r="G1752" i="1"/>
  <c r="G1697" i="1"/>
  <c r="G1642" i="1"/>
  <c r="G1587" i="1"/>
  <c r="G1532" i="1"/>
  <c r="G1477" i="1"/>
  <c r="G1422" i="1"/>
  <c r="G1367" i="1"/>
  <c r="G1312" i="1"/>
  <c r="G1257" i="1"/>
  <c r="G1202" i="1"/>
  <c r="G1147" i="1"/>
  <c r="G1092" i="1"/>
  <c r="G1037" i="1"/>
  <c r="G982" i="1"/>
  <c r="G927" i="1"/>
  <c r="G872" i="1"/>
  <c r="G817" i="1"/>
  <c r="G762" i="1"/>
  <c r="G707" i="1"/>
  <c r="G652" i="1"/>
  <c r="G597" i="1"/>
  <c r="G542" i="1"/>
  <c r="G487" i="1"/>
  <c r="G432" i="1"/>
  <c r="G377" i="1"/>
  <c r="G322" i="1"/>
  <c r="G267" i="1"/>
  <c r="G212" i="1"/>
  <c r="G157" i="1"/>
  <c r="G102" i="1"/>
  <c r="G2106" i="1"/>
  <c r="G2051" i="1"/>
  <c r="G1996" i="1"/>
  <c r="G1941" i="1"/>
  <c r="G1886" i="1"/>
  <c r="G1831" i="1"/>
  <c r="G1776" i="1"/>
  <c r="G1721" i="1"/>
  <c r="G1666" i="1"/>
  <c r="G1611" i="1"/>
  <c r="G1556" i="1"/>
  <c r="G1501" i="1"/>
  <c r="G1446" i="1"/>
  <c r="G1391" i="1"/>
  <c r="G1336" i="1"/>
  <c r="G1281" i="1"/>
  <c r="G1226" i="1"/>
  <c r="G1171" i="1"/>
  <c r="G1116" i="1"/>
  <c r="G1061" i="1"/>
  <c r="G1006" i="1"/>
  <c r="G951" i="1"/>
  <c r="G896" i="1"/>
  <c r="G841" i="1"/>
  <c r="G786" i="1"/>
  <c r="G731" i="1"/>
  <c r="G676" i="1"/>
  <c r="G621" i="1"/>
  <c r="G566" i="1"/>
  <c r="G511" i="1"/>
  <c r="G456" i="1"/>
  <c r="G401" i="1"/>
  <c r="G346" i="1"/>
  <c r="G291" i="1"/>
  <c r="G236" i="1"/>
  <c r="G181" i="1"/>
  <c r="G126" i="1"/>
  <c r="G71" i="1"/>
  <c r="G2175" i="1"/>
  <c r="G2122" i="1"/>
  <c r="G2067" i="1"/>
  <c r="G2012" i="1"/>
  <c r="G1957" i="1"/>
  <c r="G1902" i="1"/>
  <c r="G1847" i="1"/>
  <c r="G1792" i="1"/>
  <c r="G1737" i="1"/>
  <c r="G1682" i="1"/>
  <c r="G1627" i="1"/>
  <c r="G1572" i="1"/>
  <c r="G1517" i="1"/>
  <c r="G1462" i="1"/>
  <c r="G1407" i="1"/>
  <c r="G1352" i="1"/>
  <c r="G1297" i="1"/>
  <c r="G1242" i="1"/>
  <c r="G1187" i="1"/>
  <c r="G1132" i="1"/>
  <c r="G1077" i="1"/>
  <c r="G1022" i="1"/>
  <c r="G967" i="1"/>
  <c r="G912" i="1"/>
  <c r="G857" i="1"/>
  <c r="G802" i="1"/>
  <c r="G747" i="1"/>
  <c r="G692" i="1"/>
  <c r="G637" i="1"/>
  <c r="G582" i="1"/>
  <c r="G527" i="1"/>
  <c r="G472" i="1"/>
  <c r="G417" i="1"/>
  <c r="G362" i="1"/>
  <c r="G307" i="1"/>
  <c r="G252" i="1"/>
  <c r="G197" i="1"/>
  <c r="G142" i="1"/>
  <c r="G87" i="1"/>
  <c r="G33" i="1"/>
  <c r="L2204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3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3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6" i="1"/>
  <c r="I4" i="1"/>
  <c r="I5" i="1"/>
  <c r="I3" i="1"/>
  <c r="H2" i="1"/>
</calcChain>
</file>

<file path=xl/connections.xml><?xml version="1.0" encoding="utf-8"?>
<connections xmlns="http://schemas.openxmlformats.org/spreadsheetml/2006/main">
  <connection id="1" name="RING2xlx" type="6" refreshedVersion="5" background="1" saveData="1">
    <textPr codePage="65001" sourceFile="D:\KI_cluster\SYLA\Urf_8MV\INJECT\kluster\OptimInj\7_eq_inj_SXT_14mm_one_turn_trajs\to_Samarin\RING2xlx.txt" decimal="," thousands=" ">
      <textFields count="7"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<sst xmlns="http://schemas.openxmlformats.org/spreadsheetml/2006/main" count="2214" uniqueCount="119">
  <si>
    <t>START</t>
  </si>
  <si>
    <t>QF1J</t>
  </si>
  <si>
    <t>SH1A</t>
  </si>
  <si>
    <t>DR_K3</t>
  </si>
  <si>
    <t>QD2J</t>
  </si>
  <si>
    <t>JL1A_5</t>
  </si>
  <si>
    <t>JL1A_4</t>
  </si>
  <si>
    <t>JL1A_3</t>
  </si>
  <si>
    <t>JL1A_2</t>
  </si>
  <si>
    <t>QF2J</t>
  </si>
  <si>
    <t>JL1A_1</t>
  </si>
  <si>
    <t>QD3J</t>
  </si>
  <si>
    <t>SJ1A</t>
  </si>
  <si>
    <t>DR_K4</t>
  </si>
  <si>
    <t>QF4J</t>
  </si>
  <si>
    <t>SJ2A</t>
  </si>
  <si>
    <t>QF4B</t>
  </si>
  <si>
    <t>OJ1B</t>
  </si>
  <si>
    <t>SJ1B</t>
  </si>
  <si>
    <t>QD5B</t>
  </si>
  <si>
    <t>DL2B_1</t>
  </si>
  <si>
    <t>DL2B_2</t>
  </si>
  <si>
    <t>DL2B_3</t>
  </si>
  <si>
    <t>DL2B_4</t>
  </si>
  <si>
    <t>DL2B_5</t>
  </si>
  <si>
    <t>QF6B</t>
  </si>
  <si>
    <t>DQ1B</t>
  </si>
  <si>
    <t>QF8B</t>
  </si>
  <si>
    <t>SH2B</t>
  </si>
  <si>
    <t>DQ2C_1</t>
  </si>
  <si>
    <t>SBM</t>
  </si>
  <si>
    <t>DQ2C_2</t>
  </si>
  <si>
    <t>QF8D</t>
  </si>
  <si>
    <t>DQ1D</t>
  </si>
  <si>
    <t>QF6D</t>
  </si>
  <si>
    <t>DL2D_5</t>
  </si>
  <si>
    <t>DL2D_4</t>
  </si>
  <si>
    <t>DL2D_3</t>
  </si>
  <si>
    <t>DL2D_2</t>
  </si>
  <si>
    <t>DL2D_1</t>
  </si>
  <si>
    <t>QD5D</t>
  </si>
  <si>
    <t>SJ1D</t>
  </si>
  <si>
    <t>OJ1D</t>
  </si>
  <si>
    <t>QF4D</t>
  </si>
  <si>
    <t>SJ2E</t>
  </si>
  <si>
    <t>QF4L</t>
  </si>
  <si>
    <t>SJ1E</t>
  </si>
  <si>
    <t>QD3L</t>
  </si>
  <si>
    <t>DL1E_1</t>
  </si>
  <si>
    <t>DL1E_2</t>
  </si>
  <si>
    <t>DL1E_3</t>
  </si>
  <si>
    <t>DL1E_4</t>
  </si>
  <si>
    <t>DL1E_5</t>
  </si>
  <si>
    <t>QD2L</t>
  </si>
  <si>
    <t>SH3E</t>
  </si>
  <si>
    <t>QF1L</t>
  </si>
  <si>
    <t>QF1A</t>
  </si>
  <si>
    <t>QD2A</t>
  </si>
  <si>
    <t>DL1A_5</t>
  </si>
  <si>
    <t>DL1A_4</t>
  </si>
  <si>
    <t>DL1A_3</t>
  </si>
  <si>
    <t>DL1A_2</t>
  </si>
  <si>
    <t>DL1A_1</t>
  </si>
  <si>
    <t>QD3A</t>
  </si>
  <si>
    <t>SD1A</t>
  </si>
  <si>
    <t>QF4A</t>
  </si>
  <si>
    <t>SF2A</t>
  </si>
  <si>
    <t>QF4BA</t>
  </si>
  <si>
    <t>OD1B</t>
  </si>
  <si>
    <t>SD1B</t>
  </si>
  <si>
    <t>QD5BA</t>
  </si>
  <si>
    <t>QF6BA</t>
  </si>
  <si>
    <t>DQ1BA</t>
  </si>
  <si>
    <t>QF8BA</t>
  </si>
  <si>
    <t>DQ2C_1A</t>
  </si>
  <si>
    <t>DQ2C_2A</t>
  </si>
  <si>
    <t>QF8DA</t>
  </si>
  <si>
    <t>DQ1DA</t>
  </si>
  <si>
    <t>QF6DA</t>
  </si>
  <si>
    <t>QD5DA</t>
  </si>
  <si>
    <t>SD1D</t>
  </si>
  <si>
    <t>OD1D</t>
  </si>
  <si>
    <t>QF4DA</t>
  </si>
  <si>
    <t>SF2E</t>
  </si>
  <si>
    <t>QF4E</t>
  </si>
  <si>
    <t>SD1E</t>
  </si>
  <si>
    <t>QD3E</t>
  </si>
  <si>
    <t>QD2E</t>
  </si>
  <si>
    <t>QF1E</t>
  </si>
  <si>
    <t>SI1A</t>
  </si>
  <si>
    <t>SI2A</t>
  </si>
  <si>
    <t>SI1B</t>
  </si>
  <si>
    <t>SI1D</t>
  </si>
  <si>
    <t>SI2E</t>
  </si>
  <si>
    <t>QF4I</t>
  </si>
  <si>
    <t>DR_K1</t>
  </si>
  <si>
    <t>SI1E</t>
  </si>
  <si>
    <t>QD3I</t>
  </si>
  <si>
    <t>JL1E_1</t>
  </si>
  <si>
    <t>QF2I</t>
  </si>
  <si>
    <t>JL1E_2</t>
  </si>
  <si>
    <t>JL1E_3</t>
  </si>
  <si>
    <t>JL1E_4</t>
  </si>
  <si>
    <t>JL1E_5</t>
  </si>
  <si>
    <t>QD2I</t>
  </si>
  <si>
    <t>DR_K2</t>
  </si>
  <si>
    <t>QF1I</t>
  </si>
  <si>
    <t>END</t>
  </si>
  <si>
    <t>NAME</t>
  </si>
  <si>
    <t>ANGLE, rad</t>
  </si>
  <si>
    <t>s, m (exit from magnet)</t>
  </si>
  <si>
    <t>L, m (of the magnet)</t>
  </si>
  <si>
    <t>B, T</t>
  </si>
  <si>
    <t>GQ, T</t>
  </si>
  <si>
    <t>Gq, 1/m^2</t>
  </si>
  <si>
    <t>Gs, 1/m^3</t>
  </si>
  <si>
    <t>Go, 1/m^4</t>
  </si>
  <si>
    <t>GS, T/m^2</t>
  </si>
  <si>
    <t>GO, T/m^3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</si>
</sst>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ING2xlx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04"/>
  <sheetViews>
    <sheetView tabSelected="1" workbookViewId="0">
      <selection activeCell="H6" sqref="H6"/>
    </sheetView>
  </sheetViews>
  <sheetFormatPr defaultRowHeight="14.5" x14ac:dyDescent="0.35"/>
  <cols>
    <col min="2" max="2" width="18.6328125" customWidth="1"/>
    <col min="3" max="3" width="12.6328125" customWidth="1"/>
    <col min="4" max="5" width="11.453125" bestFit="1" customWidth="1"/>
    <col min="6" max="6" width="15.26953125" customWidth="1"/>
    <col min="7" max="7" width="21.90625" customWidth="1"/>
    <col min="8" max="8" width="12.6328125" customWidth="1"/>
    <col min="9" max="9" width="11.81640625" customWidth="1"/>
    <col min="11" max="11" width="11" customWidth="1"/>
    <col min="12" max="12" width="10.90625" customWidth="1"/>
  </cols>
  <sheetData>
    <row r="1" spans="1:12" x14ac:dyDescent="0.35">
      <c r="A1" t="s">
        <v>108</v>
      </c>
      <c r="B1" t="s">
        <v>111</v>
      </c>
      <c r="C1" t="s">
        <v>109</v>
      </c>
      <c r="D1" t="s">
        <v>114</v>
      </c>
      <c r="E1" t="s">
        <v>115</v>
      </c>
      <c r="F1" t="s">
        <v>116</v>
      </c>
      <c r="G1" t="s">
        <v>110</v>
      </c>
      <c r="I1" t="s">
        <v>112</v>
      </c>
      <c r="J1" t="s">
        <v>113</v>
      </c>
      <c r="K1" t="s">
        <v>117</v>
      </c>
      <c r="L1" t="s">
        <v>118</v>
      </c>
    </row>
    <row r="2" spans="1:12" x14ac:dyDescent="0.3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f>20.0138456393055</f>
        <v>20.013845639305501</v>
      </c>
      <c r="I2">
        <v>0</v>
      </c>
      <c r="J2">
        <v>0</v>
      </c>
      <c r="K2">
        <v>0</v>
      </c>
      <c r="L2">
        <v>0</v>
      </c>
    </row>
    <row r="3" spans="1:12" x14ac:dyDescent="0.35">
      <c r="A3" s="1" t="s">
        <v>1</v>
      </c>
      <c r="B3">
        <v>0.21199999999999999</v>
      </c>
      <c r="C3">
        <v>0</v>
      </c>
      <c r="D3">
        <v>1.52550717</v>
      </c>
      <c r="E3">
        <v>0</v>
      </c>
      <c r="F3">
        <v>0</v>
      </c>
      <c r="G3">
        <v>1.1119355</v>
      </c>
      <c r="I3">
        <f>$H$2*$C3/$B3</f>
        <v>0</v>
      </c>
      <c r="J3">
        <f>$H$2*$D3</f>
        <v>30.531265022033775</v>
      </c>
      <c r="K3">
        <f>$H$2*$E3</f>
        <v>0</v>
      </c>
      <c r="L3">
        <f>$H$2*$F3</f>
        <v>0</v>
      </c>
    </row>
    <row r="4" spans="1:12" x14ac:dyDescent="0.35">
      <c r="A4" s="1" t="s">
        <v>2</v>
      </c>
      <c r="B4">
        <v>0.1</v>
      </c>
      <c r="C4">
        <v>0</v>
      </c>
      <c r="D4">
        <v>0</v>
      </c>
      <c r="E4">
        <v>0</v>
      </c>
      <c r="F4">
        <v>0</v>
      </c>
      <c r="G4">
        <v>2.2983804999999999</v>
      </c>
      <c r="I4">
        <f t="shared" ref="I4:I67" si="0">$H$2*$C4/$B4</f>
        <v>0</v>
      </c>
      <c r="J4">
        <f t="shared" ref="J4:J67" si="1">$H$2*$D4</f>
        <v>0</v>
      </c>
      <c r="K4">
        <f t="shared" ref="K4:K67" si="2">$H$2*$E4</f>
        <v>0</v>
      </c>
      <c r="L4">
        <f t="shared" ref="L4:L67" si="3">$H$2*$F4</f>
        <v>0</v>
      </c>
    </row>
    <row r="5" spans="1:12" x14ac:dyDescent="0.35">
      <c r="A5" s="1" t="s">
        <v>3</v>
      </c>
      <c r="B5">
        <v>0.44</v>
      </c>
      <c r="C5">
        <v>1.74327046E-3</v>
      </c>
      <c r="D5">
        <v>0</v>
      </c>
      <c r="E5">
        <v>0</v>
      </c>
      <c r="F5">
        <v>0</v>
      </c>
      <c r="G5">
        <v>2.7693805</v>
      </c>
      <c r="I5">
        <f t="shared" si="0"/>
        <v>7.9294422486366131E-2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35">
      <c r="A6" s="1" t="s">
        <v>4</v>
      </c>
      <c r="B6">
        <v>0.21199999999999999</v>
      </c>
      <c r="C6">
        <v>0</v>
      </c>
      <c r="D6">
        <v>-1.22769416</v>
      </c>
      <c r="E6">
        <v>0</v>
      </c>
      <c r="F6">
        <v>0</v>
      </c>
      <c r="G6">
        <v>3.1303804999999998</v>
      </c>
      <c r="I6">
        <f t="shared" si="0"/>
        <v>0</v>
      </c>
      <c r="J6">
        <f t="shared" si="1"/>
        <v>-24.570881410516829</v>
      </c>
      <c r="K6">
        <f t="shared" si="2"/>
        <v>0</v>
      </c>
      <c r="L6">
        <f t="shared" si="3"/>
        <v>0</v>
      </c>
    </row>
    <row r="7" spans="1:12" x14ac:dyDescent="0.35">
      <c r="A7" s="1" t="s">
        <v>5</v>
      </c>
      <c r="B7">
        <v>0.41782847699999998</v>
      </c>
      <c r="C7">
        <v>4.9332000000000004E-3</v>
      </c>
      <c r="D7">
        <v>0</v>
      </c>
      <c r="E7">
        <v>0</v>
      </c>
      <c r="F7">
        <v>0</v>
      </c>
      <c r="G7">
        <v>3.5952088999999998</v>
      </c>
      <c r="I7">
        <f t="shared" si="0"/>
        <v>0.23629864583840202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 x14ac:dyDescent="0.35">
      <c r="A8" s="1" t="s">
        <v>6</v>
      </c>
      <c r="B8">
        <v>0.41782847699999998</v>
      </c>
      <c r="C8">
        <v>4.9332000000000004E-3</v>
      </c>
      <c r="D8">
        <v>0</v>
      </c>
      <c r="E8">
        <v>0</v>
      </c>
      <c r="F8">
        <v>0</v>
      </c>
      <c r="G8">
        <v>4.0130374</v>
      </c>
      <c r="I8">
        <f t="shared" si="0"/>
        <v>0.23629864583840202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 x14ac:dyDescent="0.35">
      <c r="A9" s="1" t="s">
        <v>7</v>
      </c>
      <c r="B9">
        <v>0.41782847699999998</v>
      </c>
      <c r="C9">
        <v>4.9332000000000004E-3</v>
      </c>
      <c r="D9">
        <v>0</v>
      </c>
      <c r="E9">
        <v>0</v>
      </c>
      <c r="F9">
        <v>0</v>
      </c>
      <c r="G9">
        <v>4.4308658999999997</v>
      </c>
      <c r="I9">
        <f t="shared" si="0"/>
        <v>0.23629864583840202</v>
      </c>
      <c r="J9">
        <f t="shared" si="1"/>
        <v>0</v>
      </c>
      <c r="K9">
        <f t="shared" si="2"/>
        <v>0</v>
      </c>
      <c r="L9">
        <f t="shared" si="3"/>
        <v>0</v>
      </c>
    </row>
    <row r="10" spans="1:12" x14ac:dyDescent="0.35">
      <c r="A10" s="1" t="s">
        <v>8</v>
      </c>
      <c r="B10">
        <v>0.41782847699999998</v>
      </c>
      <c r="C10">
        <v>4.9332000000000004E-3</v>
      </c>
      <c r="D10">
        <v>0</v>
      </c>
      <c r="E10">
        <v>0</v>
      </c>
      <c r="F10">
        <v>0</v>
      </c>
      <c r="G10">
        <v>4.8486944000000003</v>
      </c>
      <c r="I10">
        <f t="shared" si="0"/>
        <v>0.23629864583840202</v>
      </c>
      <c r="J10">
        <f t="shared" si="1"/>
        <v>0</v>
      </c>
      <c r="K10">
        <f t="shared" si="2"/>
        <v>0</v>
      </c>
      <c r="L10">
        <f t="shared" si="3"/>
        <v>0</v>
      </c>
    </row>
    <row r="11" spans="1:12" x14ac:dyDescent="0.35">
      <c r="A11" s="1" t="s">
        <v>9</v>
      </c>
      <c r="B11">
        <v>0.21199999999999999</v>
      </c>
      <c r="C11">
        <v>0</v>
      </c>
      <c r="D11">
        <v>2.2396495000000001</v>
      </c>
      <c r="E11">
        <v>0</v>
      </c>
      <c r="F11">
        <v>0</v>
      </c>
      <c r="G11">
        <v>5.1876943999999998</v>
      </c>
      <c r="I11">
        <f t="shared" si="0"/>
        <v>0</v>
      </c>
      <c r="J11">
        <f t="shared" si="1"/>
        <v>44.82399937914775</v>
      </c>
      <c r="K11">
        <f t="shared" si="2"/>
        <v>0</v>
      </c>
      <c r="L11">
        <f t="shared" si="3"/>
        <v>0</v>
      </c>
    </row>
    <row r="12" spans="1:12" x14ac:dyDescent="0.35">
      <c r="A12" s="1" t="s">
        <v>10</v>
      </c>
      <c r="B12">
        <v>0.41782847699999998</v>
      </c>
      <c r="C12">
        <v>4.9332000000000004E-3</v>
      </c>
      <c r="D12">
        <v>0</v>
      </c>
      <c r="E12">
        <v>0</v>
      </c>
      <c r="F12">
        <v>0</v>
      </c>
      <c r="G12">
        <v>5.6525227999999998</v>
      </c>
      <c r="I12">
        <f t="shared" si="0"/>
        <v>0.23629864583840202</v>
      </c>
      <c r="J12">
        <f t="shared" si="1"/>
        <v>0</v>
      </c>
      <c r="K12">
        <f t="shared" si="2"/>
        <v>0</v>
      </c>
      <c r="L12">
        <f t="shared" si="3"/>
        <v>0</v>
      </c>
    </row>
    <row r="13" spans="1:12" x14ac:dyDescent="0.35">
      <c r="A13" s="1" t="s">
        <v>11</v>
      </c>
      <c r="B13">
        <v>0.29499999999999998</v>
      </c>
      <c r="C13">
        <v>0</v>
      </c>
      <c r="D13">
        <v>-2.7391252700000002</v>
      </c>
      <c r="E13">
        <v>0</v>
      </c>
      <c r="F13">
        <v>0</v>
      </c>
      <c r="G13">
        <v>5.9945228000000004</v>
      </c>
      <c r="I13">
        <f t="shared" si="0"/>
        <v>0</v>
      </c>
      <c r="J13">
        <f t="shared" si="1"/>
        <v>-54.820430340501005</v>
      </c>
      <c r="K13">
        <f t="shared" si="2"/>
        <v>0</v>
      </c>
      <c r="L13">
        <f t="shared" si="3"/>
        <v>0</v>
      </c>
    </row>
    <row r="14" spans="1:12" x14ac:dyDescent="0.35">
      <c r="A14" s="1" t="s">
        <v>12</v>
      </c>
      <c r="B14">
        <v>0.16600000000000001</v>
      </c>
      <c r="C14">
        <v>0</v>
      </c>
      <c r="D14">
        <v>0</v>
      </c>
      <c r="E14">
        <v>-138.56074599999999</v>
      </c>
      <c r="F14">
        <v>0</v>
      </c>
      <c r="G14">
        <v>6.2355228</v>
      </c>
      <c r="I14">
        <f t="shared" si="0"/>
        <v>0</v>
      </c>
      <c r="J14">
        <f t="shared" si="1"/>
        <v>0</v>
      </c>
      <c r="K14">
        <f t="shared" si="2"/>
        <v>-2773.133382111017</v>
      </c>
      <c r="L14">
        <f t="shared" si="3"/>
        <v>0</v>
      </c>
    </row>
    <row r="15" spans="1:12" x14ac:dyDescent="0.35">
      <c r="A15" s="1" t="s">
        <v>13</v>
      </c>
      <c r="B15">
        <v>0.44</v>
      </c>
      <c r="C15">
        <v>1.7410342999999999E-3</v>
      </c>
      <c r="D15">
        <v>0</v>
      </c>
      <c r="E15">
        <v>0</v>
      </c>
      <c r="F15">
        <v>0</v>
      </c>
      <c r="G15">
        <v>6.7553967000000004</v>
      </c>
      <c r="I15">
        <f t="shared" si="0"/>
        <v>7.9192708483946134E-2</v>
      </c>
      <c r="J15">
        <f t="shared" si="1"/>
        <v>0</v>
      </c>
      <c r="K15">
        <f t="shared" si="2"/>
        <v>0</v>
      </c>
      <c r="L15">
        <f t="shared" si="3"/>
        <v>0</v>
      </c>
    </row>
    <row r="16" spans="1:12" x14ac:dyDescent="0.35">
      <c r="A16" s="1" t="s">
        <v>14</v>
      </c>
      <c r="B16">
        <v>0.21199999999999999</v>
      </c>
      <c r="C16">
        <v>0</v>
      </c>
      <c r="D16">
        <v>2.6705977600000002</v>
      </c>
      <c r="E16">
        <v>0</v>
      </c>
      <c r="F16">
        <v>0</v>
      </c>
      <c r="G16">
        <v>7.0483966999999996</v>
      </c>
      <c r="I16">
        <f t="shared" si="0"/>
        <v>0</v>
      </c>
      <c r="J16">
        <f t="shared" si="1"/>
        <v>53.448931333315045</v>
      </c>
      <c r="K16">
        <f t="shared" si="2"/>
        <v>0</v>
      </c>
      <c r="L16">
        <f t="shared" si="3"/>
        <v>0</v>
      </c>
    </row>
    <row r="17" spans="1:12" x14ac:dyDescent="0.35">
      <c r="A17" s="1" t="s">
        <v>15</v>
      </c>
      <c r="B17">
        <v>0.2</v>
      </c>
      <c r="C17">
        <v>0</v>
      </c>
      <c r="D17">
        <v>0</v>
      </c>
      <c r="E17">
        <v>185.026839</v>
      </c>
      <c r="F17">
        <v>0</v>
      </c>
      <c r="G17">
        <v>7.3233967</v>
      </c>
      <c r="I17">
        <f t="shared" si="0"/>
        <v>0</v>
      </c>
      <c r="J17">
        <f t="shared" si="1"/>
        <v>0</v>
      </c>
      <c r="K17">
        <f t="shared" si="2"/>
        <v>3703.0985948746311</v>
      </c>
      <c r="L17">
        <f t="shared" si="3"/>
        <v>0</v>
      </c>
    </row>
    <row r="18" spans="1:12" x14ac:dyDescent="0.35">
      <c r="A18" s="1" t="s">
        <v>16</v>
      </c>
      <c r="B18">
        <v>0.21199999999999999</v>
      </c>
      <c r="C18">
        <v>0</v>
      </c>
      <c r="D18">
        <v>2.3358096499999998</v>
      </c>
      <c r="E18">
        <v>0</v>
      </c>
      <c r="F18">
        <v>0</v>
      </c>
      <c r="G18">
        <v>7.6103966999999999</v>
      </c>
      <c r="I18">
        <f t="shared" si="0"/>
        <v>0</v>
      </c>
      <c r="J18">
        <f t="shared" si="1"/>
        <v>46.748533777900207</v>
      </c>
      <c r="K18">
        <f t="shared" si="2"/>
        <v>0</v>
      </c>
      <c r="L18">
        <f t="shared" si="3"/>
        <v>0</v>
      </c>
    </row>
    <row r="19" spans="1:12" x14ac:dyDescent="0.35">
      <c r="A19" s="1" t="s">
        <v>17</v>
      </c>
      <c r="B19">
        <v>0.09</v>
      </c>
      <c r="C19">
        <v>0</v>
      </c>
      <c r="D19">
        <v>0</v>
      </c>
      <c r="E19">
        <v>0</v>
      </c>
      <c r="F19">
        <v>-13632</v>
      </c>
      <c r="G19">
        <v>7.7603967000000003</v>
      </c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-272828.74375501258</v>
      </c>
    </row>
    <row r="20" spans="1:12" x14ac:dyDescent="0.35">
      <c r="A20" s="1" t="s">
        <v>18</v>
      </c>
      <c r="B20">
        <v>0.16600000000000001</v>
      </c>
      <c r="C20">
        <v>0</v>
      </c>
      <c r="D20">
        <v>0</v>
      </c>
      <c r="E20">
        <v>-216.27461400000001</v>
      </c>
      <c r="F20">
        <v>0</v>
      </c>
      <c r="G20">
        <v>8.3772500999999995</v>
      </c>
      <c r="I20">
        <f t="shared" si="0"/>
        <v>0</v>
      </c>
      <c r="J20">
        <f t="shared" si="1"/>
        <v>0</v>
      </c>
      <c r="K20">
        <f t="shared" si="2"/>
        <v>-4328.486740296381</v>
      </c>
      <c r="L20">
        <f t="shared" si="3"/>
        <v>0</v>
      </c>
    </row>
    <row r="21" spans="1:12" x14ac:dyDescent="0.35">
      <c r="A21" s="1" t="s">
        <v>19</v>
      </c>
      <c r="B21">
        <v>0.21199999999999999</v>
      </c>
      <c r="C21">
        <v>0</v>
      </c>
      <c r="D21">
        <v>-2.4448500700000002</v>
      </c>
      <c r="E21">
        <v>0</v>
      </c>
      <c r="F21">
        <v>0</v>
      </c>
      <c r="G21">
        <v>8.6642501000000003</v>
      </c>
      <c r="I21">
        <f t="shared" si="0"/>
        <v>0</v>
      </c>
      <c r="J21">
        <f t="shared" si="1"/>
        <v>-48.930851912225251</v>
      </c>
      <c r="K21">
        <f t="shared" si="2"/>
        <v>0</v>
      </c>
      <c r="L21">
        <f t="shared" si="3"/>
        <v>0</v>
      </c>
    </row>
    <row r="22" spans="1:12" x14ac:dyDescent="0.35">
      <c r="A22" s="1" t="s">
        <v>20</v>
      </c>
      <c r="B22">
        <v>0.41782794400000001</v>
      </c>
      <c r="C22">
        <v>2.3392E-3</v>
      </c>
      <c r="D22">
        <v>0</v>
      </c>
      <c r="E22">
        <v>0</v>
      </c>
      <c r="F22">
        <v>0</v>
      </c>
      <c r="G22">
        <v>9.1290779999999998</v>
      </c>
      <c r="I22">
        <f t="shared" si="0"/>
        <v>0.11204704805350077</v>
      </c>
      <c r="J22">
        <f t="shared" si="1"/>
        <v>0</v>
      </c>
      <c r="K22">
        <f t="shared" si="2"/>
        <v>0</v>
      </c>
      <c r="L22">
        <f t="shared" si="3"/>
        <v>0</v>
      </c>
    </row>
    <row r="23" spans="1:12" x14ac:dyDescent="0.35">
      <c r="A23" s="1" t="s">
        <v>21</v>
      </c>
      <c r="B23">
        <v>0.41782808399999999</v>
      </c>
      <c r="C23">
        <v>3.2192000000000002E-3</v>
      </c>
      <c r="D23">
        <v>0</v>
      </c>
      <c r="E23">
        <v>0</v>
      </c>
      <c r="F23">
        <v>0</v>
      </c>
      <c r="G23">
        <v>9.5469060999999993</v>
      </c>
      <c r="I23">
        <f t="shared" si="0"/>
        <v>0.15419875865034546</v>
      </c>
      <c r="J23">
        <f t="shared" si="1"/>
        <v>0</v>
      </c>
      <c r="K23">
        <f t="shared" si="2"/>
        <v>0</v>
      </c>
      <c r="L23">
        <f t="shared" si="3"/>
        <v>0</v>
      </c>
    </row>
    <row r="24" spans="1:12" x14ac:dyDescent="0.35">
      <c r="A24" s="1" t="s">
        <v>22</v>
      </c>
      <c r="B24">
        <v>0.41782827500000003</v>
      </c>
      <c r="C24">
        <v>4.1392E-3</v>
      </c>
      <c r="D24">
        <v>0</v>
      </c>
      <c r="E24">
        <v>0</v>
      </c>
      <c r="F24">
        <v>0</v>
      </c>
      <c r="G24">
        <v>9.9647343999999993</v>
      </c>
      <c r="I24">
        <f t="shared" si="0"/>
        <v>0.19826640470947862</v>
      </c>
      <c r="J24">
        <f t="shared" si="1"/>
        <v>0</v>
      </c>
      <c r="K24">
        <f t="shared" si="2"/>
        <v>0</v>
      </c>
      <c r="L24">
        <f t="shared" si="3"/>
        <v>0</v>
      </c>
    </row>
    <row r="25" spans="1:12" x14ac:dyDescent="0.35">
      <c r="A25" s="1" t="s">
        <v>23</v>
      </c>
      <c r="B25">
        <v>0.41782864199999997</v>
      </c>
      <c r="C25">
        <v>5.4992000000000001E-3</v>
      </c>
      <c r="D25">
        <v>0</v>
      </c>
      <c r="E25">
        <v>0</v>
      </c>
      <c r="F25">
        <v>0</v>
      </c>
      <c r="G25">
        <v>10.382562999999999</v>
      </c>
      <c r="I25">
        <f t="shared" si="0"/>
        <v>0.26340975432619773</v>
      </c>
      <c r="J25">
        <f t="shared" si="1"/>
        <v>0</v>
      </c>
      <c r="K25">
        <f t="shared" si="2"/>
        <v>0</v>
      </c>
      <c r="L25">
        <f t="shared" si="3"/>
        <v>0</v>
      </c>
    </row>
    <row r="26" spans="1:12" x14ac:dyDescent="0.35">
      <c r="A26" s="1" t="s">
        <v>24</v>
      </c>
      <c r="B26">
        <v>0.41782941899999998</v>
      </c>
      <c r="C26">
        <v>7.6290999999999998E-3</v>
      </c>
      <c r="D26">
        <v>0</v>
      </c>
      <c r="E26">
        <v>0</v>
      </c>
      <c r="F26">
        <v>0</v>
      </c>
      <c r="G26">
        <v>10.800392</v>
      </c>
      <c r="I26">
        <f t="shared" si="0"/>
        <v>0.36543053893202671</v>
      </c>
      <c r="J26">
        <f t="shared" si="1"/>
        <v>0</v>
      </c>
      <c r="K26">
        <f t="shared" si="2"/>
        <v>0</v>
      </c>
      <c r="L26">
        <f t="shared" si="3"/>
        <v>0</v>
      </c>
    </row>
    <row r="27" spans="1:12" x14ac:dyDescent="0.35">
      <c r="A27" s="1" t="s">
        <v>25</v>
      </c>
      <c r="B27">
        <v>0.3745</v>
      </c>
      <c r="C27">
        <v>0</v>
      </c>
      <c r="D27">
        <v>4.5062336500000004</v>
      </c>
      <c r="E27">
        <v>0</v>
      </c>
      <c r="F27">
        <v>0</v>
      </c>
      <c r="G27">
        <v>11.324892</v>
      </c>
      <c r="I27">
        <f t="shared" si="0"/>
        <v>0</v>
      </c>
      <c r="J27">
        <f t="shared" si="1"/>
        <v>90.187064685744218</v>
      </c>
      <c r="K27">
        <f t="shared" si="2"/>
        <v>0</v>
      </c>
      <c r="L27">
        <f t="shared" si="3"/>
        <v>0</v>
      </c>
    </row>
    <row r="28" spans="1:12" x14ac:dyDescent="0.35">
      <c r="A28" s="1" t="s">
        <v>26</v>
      </c>
      <c r="B28">
        <v>1.0280365199999999</v>
      </c>
      <c r="C28">
        <v>2.4767999999999998E-2</v>
      </c>
      <c r="D28">
        <v>-1.9377</v>
      </c>
      <c r="E28">
        <v>0</v>
      </c>
      <c r="F28">
        <v>0</v>
      </c>
      <c r="G28">
        <v>12.442928999999999</v>
      </c>
      <c r="I28">
        <f t="shared" si="0"/>
        <v>0.48218416286837618</v>
      </c>
      <c r="J28">
        <f t="shared" si="1"/>
        <v>-38.780828695282267</v>
      </c>
      <c r="K28">
        <f t="shared" si="2"/>
        <v>0</v>
      </c>
      <c r="L28">
        <f t="shared" si="3"/>
        <v>0</v>
      </c>
    </row>
    <row r="29" spans="1:12" x14ac:dyDescent="0.35">
      <c r="A29" s="1" t="s">
        <v>27</v>
      </c>
      <c r="B29">
        <v>0.4975</v>
      </c>
      <c r="C29">
        <v>0</v>
      </c>
      <c r="D29">
        <v>4.6076894199999998</v>
      </c>
      <c r="E29">
        <v>0</v>
      </c>
      <c r="F29">
        <v>0</v>
      </c>
      <c r="G29">
        <v>13.030429</v>
      </c>
      <c r="I29">
        <f t="shared" si="0"/>
        <v>0</v>
      </c>
      <c r="J29">
        <f t="shared" si="1"/>
        <v>92.217584805741083</v>
      </c>
      <c r="K29">
        <f t="shared" si="2"/>
        <v>0</v>
      </c>
      <c r="L29">
        <f t="shared" si="3"/>
        <v>0</v>
      </c>
    </row>
    <row r="30" spans="1:12" x14ac:dyDescent="0.35">
      <c r="A30" s="1" t="s">
        <v>28</v>
      </c>
      <c r="B30">
        <v>0.1</v>
      </c>
      <c r="C30">
        <v>0</v>
      </c>
      <c r="D30">
        <v>0</v>
      </c>
      <c r="E30">
        <v>0</v>
      </c>
      <c r="F30">
        <v>0</v>
      </c>
      <c r="G30">
        <v>13.201499999999999</v>
      </c>
      <c r="I30">
        <f t="shared" si="0"/>
        <v>0</v>
      </c>
      <c r="J30">
        <f t="shared" si="1"/>
        <v>0</v>
      </c>
      <c r="K30">
        <f t="shared" si="2"/>
        <v>0</v>
      </c>
      <c r="L30">
        <f t="shared" si="3"/>
        <v>0</v>
      </c>
    </row>
    <row r="31" spans="1:12" x14ac:dyDescent="0.35">
      <c r="A31" s="1" t="s">
        <v>29</v>
      </c>
      <c r="B31">
        <v>0.40000102700000001</v>
      </c>
      <c r="C31">
        <v>5.2300999999999997E-3</v>
      </c>
      <c r="D31">
        <v>-1.5536000000000001</v>
      </c>
      <c r="E31">
        <v>0</v>
      </c>
      <c r="F31">
        <v>0</v>
      </c>
      <c r="G31">
        <v>13.694501000000001</v>
      </c>
      <c r="I31">
        <f t="shared" si="0"/>
        <v>0.26168536331815889</v>
      </c>
      <c r="J31">
        <f t="shared" si="1"/>
        <v>-31.09351058522503</v>
      </c>
      <c r="K31">
        <f t="shared" si="2"/>
        <v>0</v>
      </c>
      <c r="L31">
        <f t="shared" si="3"/>
        <v>0</v>
      </c>
    </row>
    <row r="32" spans="1:12" x14ac:dyDescent="0.35">
      <c r="A32" s="1" t="s">
        <v>30</v>
      </c>
      <c r="B32">
        <v>2.44294E-2</v>
      </c>
      <c r="C32">
        <v>1.0499000000000001E-3</v>
      </c>
      <c r="D32">
        <v>0</v>
      </c>
      <c r="E32">
        <v>0</v>
      </c>
      <c r="F32">
        <v>0</v>
      </c>
      <c r="G32">
        <v>13.789429999999999</v>
      </c>
      <c r="I32">
        <f t="shared" si="0"/>
        <v>0.8601331402616047</v>
      </c>
      <c r="J32">
        <f t="shared" si="1"/>
        <v>0</v>
      </c>
      <c r="K32">
        <f t="shared" si="2"/>
        <v>0</v>
      </c>
      <c r="L32">
        <f t="shared" si="3"/>
        <v>0</v>
      </c>
    </row>
    <row r="33" spans="1:12" x14ac:dyDescent="0.35">
      <c r="A33" s="1" t="s">
        <v>30</v>
      </c>
      <c r="B33">
        <v>2.44294E-2</v>
      </c>
      <c r="C33">
        <v>1.0499000000000001E-3</v>
      </c>
      <c r="D33">
        <v>0</v>
      </c>
      <c r="E33">
        <v>0</v>
      </c>
      <c r="F33">
        <v>0</v>
      </c>
      <c r="G33">
        <f>13.78943+0.0244294</f>
        <v>13.8138594</v>
      </c>
      <c r="I33">
        <f t="shared" si="0"/>
        <v>0.8601331402616047</v>
      </c>
      <c r="J33">
        <f t="shared" si="1"/>
        <v>0</v>
      </c>
      <c r="K33">
        <f t="shared" si="2"/>
        <v>0</v>
      </c>
      <c r="L33">
        <f t="shared" si="3"/>
        <v>0</v>
      </c>
    </row>
    <row r="34" spans="1:12" x14ac:dyDescent="0.35">
      <c r="A34" s="1" t="s">
        <v>31</v>
      </c>
      <c r="B34">
        <v>0.40000102700000001</v>
      </c>
      <c r="C34">
        <v>5.2300999999999997E-3</v>
      </c>
      <c r="D34">
        <v>-1.5536000000000001</v>
      </c>
      <c r="E34">
        <v>0</v>
      </c>
      <c r="F34">
        <v>0</v>
      </c>
      <c r="G34">
        <v>14.28436</v>
      </c>
      <c r="I34">
        <f t="shared" si="0"/>
        <v>0.26168536331815889</v>
      </c>
      <c r="J34">
        <f t="shared" si="1"/>
        <v>-31.09351058522503</v>
      </c>
      <c r="K34">
        <f t="shared" si="2"/>
        <v>0</v>
      </c>
      <c r="L34">
        <f t="shared" si="3"/>
        <v>0</v>
      </c>
    </row>
    <row r="35" spans="1:12" x14ac:dyDescent="0.35">
      <c r="A35" s="1" t="s">
        <v>32</v>
      </c>
      <c r="B35">
        <v>0.4975</v>
      </c>
      <c r="C35">
        <v>0</v>
      </c>
      <c r="D35">
        <v>4.6076894199999998</v>
      </c>
      <c r="E35">
        <v>0</v>
      </c>
      <c r="F35">
        <v>0</v>
      </c>
      <c r="G35">
        <v>15.045931</v>
      </c>
      <c r="I35">
        <f t="shared" si="0"/>
        <v>0</v>
      </c>
      <c r="J35">
        <f t="shared" si="1"/>
        <v>92.217584805741083</v>
      </c>
      <c r="K35">
        <f t="shared" si="2"/>
        <v>0</v>
      </c>
      <c r="L35">
        <f t="shared" si="3"/>
        <v>0</v>
      </c>
    </row>
    <row r="36" spans="1:12" x14ac:dyDescent="0.35">
      <c r="A36" s="1" t="s">
        <v>33</v>
      </c>
      <c r="B36">
        <v>1.0280365199999999</v>
      </c>
      <c r="C36">
        <v>2.4767999999999998E-2</v>
      </c>
      <c r="D36">
        <v>-1.9377</v>
      </c>
      <c r="E36">
        <v>0</v>
      </c>
      <c r="F36">
        <v>0</v>
      </c>
      <c r="G36">
        <v>16.163968000000001</v>
      </c>
      <c r="I36">
        <f t="shared" si="0"/>
        <v>0.48218416286837618</v>
      </c>
      <c r="J36">
        <f t="shared" si="1"/>
        <v>-38.780828695282267</v>
      </c>
      <c r="K36">
        <f t="shared" si="2"/>
        <v>0</v>
      </c>
      <c r="L36">
        <f t="shared" si="3"/>
        <v>0</v>
      </c>
    </row>
    <row r="37" spans="1:12" x14ac:dyDescent="0.35">
      <c r="A37" s="1" t="s">
        <v>34</v>
      </c>
      <c r="B37">
        <v>0.3745</v>
      </c>
      <c r="C37">
        <v>0</v>
      </c>
      <c r="D37">
        <v>4.5062336500000004</v>
      </c>
      <c r="E37">
        <v>0</v>
      </c>
      <c r="F37">
        <v>0</v>
      </c>
      <c r="G37">
        <v>16.628468000000002</v>
      </c>
      <c r="I37">
        <f t="shared" si="0"/>
        <v>0</v>
      </c>
      <c r="J37">
        <f t="shared" si="1"/>
        <v>90.187064685744218</v>
      </c>
      <c r="K37">
        <f t="shared" si="2"/>
        <v>0</v>
      </c>
      <c r="L37">
        <f t="shared" si="3"/>
        <v>0</v>
      </c>
    </row>
    <row r="38" spans="1:12" x14ac:dyDescent="0.35">
      <c r="A38" s="1" t="s">
        <v>35</v>
      </c>
      <c r="B38">
        <v>0.41782941899999998</v>
      </c>
      <c r="C38">
        <v>7.6290999999999998E-3</v>
      </c>
      <c r="D38">
        <v>0</v>
      </c>
      <c r="E38">
        <v>0</v>
      </c>
      <c r="F38">
        <v>0</v>
      </c>
      <c r="G38">
        <v>17.196297000000001</v>
      </c>
      <c r="I38">
        <f t="shared" si="0"/>
        <v>0.36543053893202671</v>
      </c>
      <c r="J38">
        <f t="shared" si="1"/>
        <v>0</v>
      </c>
      <c r="K38">
        <f t="shared" si="2"/>
        <v>0</v>
      </c>
      <c r="L38">
        <f t="shared" si="3"/>
        <v>0</v>
      </c>
    </row>
    <row r="39" spans="1:12" x14ac:dyDescent="0.35">
      <c r="A39" s="1" t="s">
        <v>36</v>
      </c>
      <c r="B39">
        <v>0.41782864199999997</v>
      </c>
      <c r="C39">
        <v>5.4992000000000001E-3</v>
      </c>
      <c r="D39">
        <v>0</v>
      </c>
      <c r="E39">
        <v>0</v>
      </c>
      <c r="F39">
        <v>0</v>
      </c>
      <c r="G39">
        <v>17.614125999999999</v>
      </c>
      <c r="I39">
        <f t="shared" si="0"/>
        <v>0.26340975432619773</v>
      </c>
      <c r="J39">
        <f t="shared" si="1"/>
        <v>0</v>
      </c>
      <c r="K39">
        <f t="shared" si="2"/>
        <v>0</v>
      </c>
      <c r="L39">
        <f t="shared" si="3"/>
        <v>0</v>
      </c>
    </row>
    <row r="40" spans="1:12" x14ac:dyDescent="0.35">
      <c r="A40" s="1" t="s">
        <v>37</v>
      </c>
      <c r="B40">
        <v>0.41782827500000003</v>
      </c>
      <c r="C40">
        <v>4.1392E-3</v>
      </c>
      <c r="D40">
        <v>0</v>
      </c>
      <c r="E40">
        <v>0</v>
      </c>
      <c r="F40">
        <v>0</v>
      </c>
      <c r="G40">
        <v>18.031953999999999</v>
      </c>
      <c r="I40">
        <f t="shared" si="0"/>
        <v>0.19826640470947862</v>
      </c>
      <c r="J40">
        <f t="shared" si="1"/>
        <v>0</v>
      </c>
      <c r="K40">
        <f t="shared" si="2"/>
        <v>0</v>
      </c>
      <c r="L40">
        <f t="shared" si="3"/>
        <v>0</v>
      </c>
    </row>
    <row r="41" spans="1:12" x14ac:dyDescent="0.35">
      <c r="A41" s="1" t="s">
        <v>38</v>
      </c>
      <c r="B41">
        <v>0.41782808399999999</v>
      </c>
      <c r="C41">
        <v>3.2192000000000002E-3</v>
      </c>
      <c r="D41">
        <v>0</v>
      </c>
      <c r="E41">
        <v>0</v>
      </c>
      <c r="F41">
        <v>0</v>
      </c>
      <c r="G41">
        <v>18.449781999999999</v>
      </c>
      <c r="I41">
        <f t="shared" si="0"/>
        <v>0.15419875865034546</v>
      </c>
      <c r="J41">
        <f t="shared" si="1"/>
        <v>0</v>
      </c>
      <c r="K41">
        <f t="shared" si="2"/>
        <v>0</v>
      </c>
      <c r="L41">
        <f t="shared" si="3"/>
        <v>0</v>
      </c>
    </row>
    <row r="42" spans="1:12" x14ac:dyDescent="0.35">
      <c r="A42" s="1" t="s">
        <v>39</v>
      </c>
      <c r="B42">
        <v>0.41782794400000001</v>
      </c>
      <c r="C42">
        <v>2.3392E-3</v>
      </c>
      <c r="D42">
        <v>0</v>
      </c>
      <c r="E42">
        <v>0</v>
      </c>
      <c r="F42">
        <v>0</v>
      </c>
      <c r="G42">
        <v>18.867609999999999</v>
      </c>
      <c r="I42">
        <f t="shared" si="0"/>
        <v>0.11204704805350077</v>
      </c>
      <c r="J42">
        <f t="shared" si="1"/>
        <v>0</v>
      </c>
      <c r="K42">
        <f t="shared" si="2"/>
        <v>0</v>
      </c>
      <c r="L42">
        <f t="shared" si="3"/>
        <v>0</v>
      </c>
    </row>
    <row r="43" spans="1:12" x14ac:dyDescent="0.35">
      <c r="A43" s="1" t="s">
        <v>40</v>
      </c>
      <c r="B43">
        <v>0.21199999999999999</v>
      </c>
      <c r="C43">
        <v>0</v>
      </c>
      <c r="D43">
        <v>-2.4448500700000002</v>
      </c>
      <c r="E43">
        <v>0</v>
      </c>
      <c r="F43">
        <v>0</v>
      </c>
      <c r="G43">
        <v>19.126609999999999</v>
      </c>
      <c r="I43">
        <f t="shared" si="0"/>
        <v>0</v>
      </c>
      <c r="J43">
        <f t="shared" si="1"/>
        <v>-48.930851912225251</v>
      </c>
      <c r="K43">
        <f t="shared" si="2"/>
        <v>0</v>
      </c>
      <c r="L43">
        <f t="shared" si="3"/>
        <v>0</v>
      </c>
    </row>
    <row r="44" spans="1:12" x14ac:dyDescent="0.35">
      <c r="A44" s="1" t="s">
        <v>41</v>
      </c>
      <c r="B44">
        <v>0.16600000000000001</v>
      </c>
      <c r="C44">
        <v>0</v>
      </c>
      <c r="D44">
        <v>0</v>
      </c>
      <c r="E44">
        <v>-207.87980999999999</v>
      </c>
      <c r="F44">
        <v>0</v>
      </c>
      <c r="G44">
        <v>19.367609999999999</v>
      </c>
      <c r="I44">
        <f t="shared" si="0"/>
        <v>0</v>
      </c>
      <c r="J44">
        <f t="shared" si="1"/>
        <v>0</v>
      </c>
      <c r="K44">
        <f t="shared" si="2"/>
        <v>-4160.4744288681559</v>
      </c>
      <c r="L44">
        <f t="shared" si="3"/>
        <v>0</v>
      </c>
    </row>
    <row r="45" spans="1:12" x14ac:dyDescent="0.35">
      <c r="A45" s="1" t="s">
        <v>42</v>
      </c>
      <c r="B45">
        <v>0.09</v>
      </c>
      <c r="C45">
        <v>0</v>
      </c>
      <c r="D45">
        <v>0</v>
      </c>
      <c r="E45">
        <v>0</v>
      </c>
      <c r="F45">
        <v>-13632</v>
      </c>
      <c r="G45">
        <v>19.908463000000001</v>
      </c>
      <c r="I45">
        <f t="shared" si="0"/>
        <v>0</v>
      </c>
      <c r="J45">
        <f t="shared" si="1"/>
        <v>0</v>
      </c>
      <c r="K45">
        <f t="shared" si="2"/>
        <v>0</v>
      </c>
      <c r="L45">
        <f t="shared" si="3"/>
        <v>-272828.74375501258</v>
      </c>
    </row>
    <row r="46" spans="1:12" x14ac:dyDescent="0.35">
      <c r="A46" s="1" t="s">
        <v>43</v>
      </c>
      <c r="B46">
        <v>0.21199999999999999</v>
      </c>
      <c r="C46">
        <v>0</v>
      </c>
      <c r="D46">
        <v>2.3358096499999998</v>
      </c>
      <c r="E46">
        <v>0</v>
      </c>
      <c r="F46">
        <v>0</v>
      </c>
      <c r="G46">
        <v>20.180463</v>
      </c>
      <c r="I46">
        <f t="shared" si="0"/>
        <v>0</v>
      </c>
      <c r="J46">
        <f t="shared" si="1"/>
        <v>46.748533777900207</v>
      </c>
      <c r="K46">
        <f t="shared" si="2"/>
        <v>0</v>
      </c>
      <c r="L46">
        <f t="shared" si="3"/>
        <v>0</v>
      </c>
    </row>
    <row r="47" spans="1:12" x14ac:dyDescent="0.35">
      <c r="A47" s="1" t="s">
        <v>44</v>
      </c>
      <c r="B47">
        <v>0.2</v>
      </c>
      <c r="C47">
        <v>0</v>
      </c>
      <c r="D47">
        <v>0</v>
      </c>
      <c r="E47">
        <v>185.53535500000001</v>
      </c>
      <c r="F47">
        <v>0</v>
      </c>
      <c r="G47">
        <v>20.455463000000002</v>
      </c>
      <c r="I47">
        <f t="shared" si="0"/>
        <v>0</v>
      </c>
      <c r="J47">
        <f t="shared" si="1"/>
        <v>0</v>
      </c>
      <c r="K47">
        <f t="shared" si="2"/>
        <v>3713.2759556037481</v>
      </c>
      <c r="L47">
        <f t="shared" si="3"/>
        <v>0</v>
      </c>
    </row>
    <row r="48" spans="1:12" x14ac:dyDescent="0.35">
      <c r="A48" s="1" t="s">
        <v>45</v>
      </c>
      <c r="B48">
        <v>0.21199999999999999</v>
      </c>
      <c r="C48">
        <v>0</v>
      </c>
      <c r="D48">
        <v>2.6045379400000002</v>
      </c>
      <c r="E48">
        <v>0</v>
      </c>
      <c r="F48">
        <v>0</v>
      </c>
      <c r="G48">
        <v>20.742463000000001</v>
      </c>
      <c r="I48">
        <f t="shared" si="0"/>
        <v>0</v>
      </c>
      <c r="J48">
        <f t="shared" si="1"/>
        <v>52.126820292874733</v>
      </c>
      <c r="K48">
        <f t="shared" si="2"/>
        <v>0</v>
      </c>
      <c r="L48">
        <f t="shared" si="3"/>
        <v>0</v>
      </c>
    </row>
    <row r="49" spans="1:12" x14ac:dyDescent="0.35">
      <c r="A49" s="1" t="s">
        <v>46</v>
      </c>
      <c r="B49">
        <v>0.16600000000000001</v>
      </c>
      <c r="C49">
        <v>0</v>
      </c>
      <c r="D49">
        <v>0</v>
      </c>
      <c r="E49">
        <v>-142.681815</v>
      </c>
      <c r="F49">
        <v>0</v>
      </c>
      <c r="G49">
        <v>21.509316999999999</v>
      </c>
      <c r="I49">
        <f t="shared" si="0"/>
        <v>0</v>
      </c>
      <c r="J49">
        <f t="shared" si="1"/>
        <v>0</v>
      </c>
      <c r="K49">
        <f t="shared" si="2"/>
        <v>-2855.6118209459441</v>
      </c>
      <c r="L49">
        <f t="shared" si="3"/>
        <v>0</v>
      </c>
    </row>
    <row r="50" spans="1:12" x14ac:dyDescent="0.35">
      <c r="A50" s="1" t="s">
        <v>47</v>
      </c>
      <c r="B50">
        <v>0.21199999999999999</v>
      </c>
      <c r="C50">
        <v>0</v>
      </c>
      <c r="D50">
        <v>-2.44067912</v>
      </c>
      <c r="E50">
        <v>0</v>
      </c>
      <c r="F50">
        <v>0</v>
      </c>
      <c r="G50">
        <v>21.796316999999998</v>
      </c>
      <c r="I50">
        <f t="shared" si="0"/>
        <v>0</v>
      </c>
      <c r="J50">
        <f t="shared" si="1"/>
        <v>-48.847375162755988</v>
      </c>
      <c r="K50">
        <f t="shared" si="2"/>
        <v>0</v>
      </c>
      <c r="L50">
        <f t="shared" si="3"/>
        <v>0</v>
      </c>
    </row>
    <row r="51" spans="1:12" x14ac:dyDescent="0.35">
      <c r="A51" s="1" t="s">
        <v>48</v>
      </c>
      <c r="B51">
        <v>0.41782794400000001</v>
      </c>
      <c r="C51">
        <v>2.3392E-3</v>
      </c>
      <c r="D51">
        <v>0</v>
      </c>
      <c r="E51">
        <v>0</v>
      </c>
      <c r="F51">
        <v>0</v>
      </c>
      <c r="G51">
        <v>22.261144999999999</v>
      </c>
      <c r="I51">
        <f t="shared" si="0"/>
        <v>0.11204704805350077</v>
      </c>
      <c r="J51">
        <f t="shared" si="1"/>
        <v>0</v>
      </c>
      <c r="K51">
        <f t="shared" si="2"/>
        <v>0</v>
      </c>
      <c r="L51">
        <f t="shared" si="3"/>
        <v>0</v>
      </c>
    </row>
    <row r="52" spans="1:12" x14ac:dyDescent="0.35">
      <c r="A52" s="1" t="s">
        <v>49</v>
      </c>
      <c r="B52">
        <v>0.41782808399999999</v>
      </c>
      <c r="C52">
        <v>3.2192000000000002E-3</v>
      </c>
      <c r="D52">
        <v>0</v>
      </c>
      <c r="E52">
        <v>0</v>
      </c>
      <c r="F52">
        <v>0</v>
      </c>
      <c r="G52">
        <v>22.678972999999999</v>
      </c>
      <c r="I52">
        <f t="shared" si="0"/>
        <v>0.15419875865034546</v>
      </c>
      <c r="J52">
        <f t="shared" si="1"/>
        <v>0</v>
      </c>
      <c r="K52">
        <f t="shared" si="2"/>
        <v>0</v>
      </c>
      <c r="L52">
        <f t="shared" si="3"/>
        <v>0</v>
      </c>
    </row>
    <row r="53" spans="1:12" x14ac:dyDescent="0.35">
      <c r="A53" s="1" t="s">
        <v>50</v>
      </c>
      <c r="B53">
        <v>0.41782827500000003</v>
      </c>
      <c r="C53">
        <v>4.1392E-3</v>
      </c>
      <c r="D53">
        <v>0</v>
      </c>
      <c r="E53">
        <v>0</v>
      </c>
      <c r="F53">
        <v>0</v>
      </c>
      <c r="G53">
        <v>23.096800999999999</v>
      </c>
      <c r="I53">
        <f t="shared" si="0"/>
        <v>0.19826640470947862</v>
      </c>
      <c r="J53">
        <f t="shared" si="1"/>
        <v>0</v>
      </c>
      <c r="K53">
        <f t="shared" si="2"/>
        <v>0</v>
      </c>
      <c r="L53">
        <f t="shared" si="3"/>
        <v>0</v>
      </c>
    </row>
    <row r="54" spans="1:12" x14ac:dyDescent="0.35">
      <c r="A54" s="1" t="s">
        <v>51</v>
      </c>
      <c r="B54">
        <v>0.41782864199999997</v>
      </c>
      <c r="C54">
        <v>5.4992000000000001E-3</v>
      </c>
      <c r="D54">
        <v>0</v>
      </c>
      <c r="E54">
        <v>0</v>
      </c>
      <c r="F54">
        <v>0</v>
      </c>
      <c r="G54">
        <v>23.51463</v>
      </c>
      <c r="I54">
        <f t="shared" si="0"/>
        <v>0.26340975432619773</v>
      </c>
      <c r="J54">
        <f t="shared" si="1"/>
        <v>0</v>
      </c>
      <c r="K54">
        <f t="shared" si="2"/>
        <v>0</v>
      </c>
      <c r="L54">
        <f t="shared" si="3"/>
        <v>0</v>
      </c>
    </row>
    <row r="55" spans="1:12" x14ac:dyDescent="0.35">
      <c r="A55" s="1" t="s">
        <v>52</v>
      </c>
      <c r="B55">
        <v>0.41783028900000002</v>
      </c>
      <c r="C55">
        <v>9.4690999999999994E-3</v>
      </c>
      <c r="D55">
        <v>0</v>
      </c>
      <c r="E55">
        <v>0</v>
      </c>
      <c r="F55">
        <v>0</v>
      </c>
      <c r="G55">
        <v>23.932459999999999</v>
      </c>
      <c r="I55">
        <f t="shared" si="0"/>
        <v>0.45356478630764774</v>
      </c>
      <c r="J55">
        <f t="shared" si="1"/>
        <v>0</v>
      </c>
      <c r="K55">
        <f t="shared" si="2"/>
        <v>0</v>
      </c>
      <c r="L55">
        <f t="shared" si="3"/>
        <v>0</v>
      </c>
    </row>
    <row r="56" spans="1:12" x14ac:dyDescent="0.35">
      <c r="A56" s="1" t="s">
        <v>53</v>
      </c>
      <c r="B56">
        <v>0.16200000000000001</v>
      </c>
      <c r="C56">
        <v>0</v>
      </c>
      <c r="D56">
        <v>-2.8403066199999998</v>
      </c>
      <c r="E56">
        <v>0</v>
      </c>
      <c r="F56">
        <v>0</v>
      </c>
      <c r="G56">
        <v>24.141459999999999</v>
      </c>
      <c r="I56">
        <f t="shared" si="0"/>
        <v>0</v>
      </c>
      <c r="J56">
        <f t="shared" si="1"/>
        <v>-56.845458260977544</v>
      </c>
      <c r="K56">
        <f t="shared" si="2"/>
        <v>0</v>
      </c>
      <c r="L56">
        <f t="shared" si="3"/>
        <v>0</v>
      </c>
    </row>
    <row r="57" spans="1:12" x14ac:dyDescent="0.35">
      <c r="A57" s="1" t="s">
        <v>54</v>
      </c>
      <c r="B57">
        <v>0.1</v>
      </c>
      <c r="C57">
        <v>0</v>
      </c>
      <c r="D57">
        <v>0</v>
      </c>
      <c r="E57">
        <v>0</v>
      </c>
      <c r="F57">
        <v>0</v>
      </c>
      <c r="G57">
        <v>24.47146</v>
      </c>
      <c r="I57">
        <f t="shared" si="0"/>
        <v>0</v>
      </c>
      <c r="J57">
        <f t="shared" si="1"/>
        <v>0</v>
      </c>
      <c r="K57">
        <f t="shared" si="2"/>
        <v>0</v>
      </c>
      <c r="L57">
        <f t="shared" si="3"/>
        <v>0</v>
      </c>
    </row>
    <row r="58" spans="1:12" x14ac:dyDescent="0.35">
      <c r="A58" s="1" t="s">
        <v>55</v>
      </c>
      <c r="B58">
        <v>0.29499999999999998</v>
      </c>
      <c r="C58">
        <v>0</v>
      </c>
      <c r="D58">
        <v>2.4421863500000001</v>
      </c>
      <c r="E58">
        <v>0</v>
      </c>
      <c r="F58">
        <v>0</v>
      </c>
      <c r="G58">
        <v>24.876460000000002</v>
      </c>
      <c r="I58">
        <f t="shared" si="0"/>
        <v>0</v>
      </c>
      <c r="J58">
        <f t="shared" si="1"/>
        <v>48.877540631318922</v>
      </c>
      <c r="K58">
        <f t="shared" si="2"/>
        <v>0</v>
      </c>
      <c r="L58">
        <f t="shared" si="3"/>
        <v>0</v>
      </c>
    </row>
    <row r="59" spans="1:12" x14ac:dyDescent="0.35">
      <c r="A59" s="1" t="s">
        <v>56</v>
      </c>
      <c r="B59">
        <v>0.29499999999999998</v>
      </c>
      <c r="C59">
        <v>0</v>
      </c>
      <c r="D59">
        <v>2.43875777</v>
      </c>
      <c r="E59">
        <v>0</v>
      </c>
      <c r="F59">
        <v>0</v>
      </c>
      <c r="G59">
        <v>30.836289000000001</v>
      </c>
      <c r="I59">
        <f t="shared" si="0"/>
        <v>0</v>
      </c>
      <c r="J59">
        <f t="shared" si="1"/>
        <v>48.808921560436907</v>
      </c>
      <c r="K59">
        <f t="shared" si="2"/>
        <v>0</v>
      </c>
      <c r="L59">
        <f t="shared" si="3"/>
        <v>0</v>
      </c>
    </row>
    <row r="60" spans="1:12" x14ac:dyDescent="0.35">
      <c r="A60" s="1" t="s">
        <v>2</v>
      </c>
      <c r="B60">
        <v>0.1</v>
      </c>
      <c r="C60">
        <v>0</v>
      </c>
      <c r="D60">
        <v>0</v>
      </c>
      <c r="E60">
        <v>0</v>
      </c>
      <c r="F60">
        <v>0</v>
      </c>
      <c r="G60">
        <v>31.046289000000002</v>
      </c>
      <c r="I60">
        <f t="shared" si="0"/>
        <v>0</v>
      </c>
      <c r="J60">
        <f t="shared" si="1"/>
        <v>0</v>
      </c>
      <c r="K60">
        <f t="shared" si="2"/>
        <v>0</v>
      </c>
      <c r="L60">
        <f t="shared" si="3"/>
        <v>0</v>
      </c>
    </row>
    <row r="61" spans="1:12" x14ac:dyDescent="0.35">
      <c r="A61" s="1" t="s">
        <v>57</v>
      </c>
      <c r="B61">
        <v>0.16200000000000001</v>
      </c>
      <c r="C61">
        <v>0</v>
      </c>
      <c r="D61">
        <v>-2.8698264299999998</v>
      </c>
      <c r="E61">
        <v>0</v>
      </c>
      <c r="F61">
        <v>0</v>
      </c>
      <c r="G61">
        <v>31.438289000000001</v>
      </c>
      <c r="I61">
        <f t="shared" si="0"/>
        <v>0</v>
      </c>
      <c r="J61">
        <f t="shared" si="1"/>
        <v>-57.436263181619168</v>
      </c>
      <c r="K61">
        <f t="shared" si="2"/>
        <v>0</v>
      </c>
      <c r="L61">
        <f t="shared" si="3"/>
        <v>0</v>
      </c>
    </row>
    <row r="62" spans="1:12" x14ac:dyDescent="0.35">
      <c r="A62" s="1" t="s">
        <v>58</v>
      </c>
      <c r="B62">
        <v>0.41783028900000002</v>
      </c>
      <c r="C62">
        <v>9.4690999999999994E-3</v>
      </c>
      <c r="D62">
        <v>0</v>
      </c>
      <c r="E62">
        <v>0</v>
      </c>
      <c r="F62">
        <v>0</v>
      </c>
      <c r="G62">
        <v>31.903120000000001</v>
      </c>
      <c r="I62">
        <f t="shared" si="0"/>
        <v>0.45356478630764774</v>
      </c>
      <c r="J62">
        <f t="shared" si="1"/>
        <v>0</v>
      </c>
      <c r="K62">
        <f t="shared" si="2"/>
        <v>0</v>
      </c>
      <c r="L62">
        <f t="shared" si="3"/>
        <v>0</v>
      </c>
    </row>
    <row r="63" spans="1:12" x14ac:dyDescent="0.35">
      <c r="A63" s="1" t="s">
        <v>59</v>
      </c>
      <c r="B63">
        <v>0.41782864199999997</v>
      </c>
      <c r="C63">
        <v>5.4992000000000001E-3</v>
      </c>
      <c r="D63">
        <v>0</v>
      </c>
      <c r="E63">
        <v>0</v>
      </c>
      <c r="F63">
        <v>0</v>
      </c>
      <c r="G63">
        <v>32.320948000000001</v>
      </c>
      <c r="I63">
        <f t="shared" si="0"/>
        <v>0.26340975432619773</v>
      </c>
      <c r="J63">
        <f t="shared" si="1"/>
        <v>0</v>
      </c>
      <c r="K63">
        <f t="shared" si="2"/>
        <v>0</v>
      </c>
      <c r="L63">
        <f t="shared" si="3"/>
        <v>0</v>
      </c>
    </row>
    <row r="64" spans="1:12" x14ac:dyDescent="0.35">
      <c r="A64" s="1" t="s">
        <v>60</v>
      </c>
      <c r="B64">
        <v>0.41782827500000003</v>
      </c>
      <c r="C64">
        <v>4.1392E-3</v>
      </c>
      <c r="D64">
        <v>0</v>
      </c>
      <c r="E64">
        <v>0</v>
      </c>
      <c r="F64">
        <v>0</v>
      </c>
      <c r="G64">
        <v>32.738776999999999</v>
      </c>
      <c r="I64">
        <f t="shared" si="0"/>
        <v>0.19826640470947862</v>
      </c>
      <c r="J64">
        <f t="shared" si="1"/>
        <v>0</v>
      </c>
      <c r="K64">
        <f t="shared" si="2"/>
        <v>0</v>
      </c>
      <c r="L64">
        <f t="shared" si="3"/>
        <v>0</v>
      </c>
    </row>
    <row r="65" spans="1:12" x14ac:dyDescent="0.35">
      <c r="A65" s="1" t="s">
        <v>61</v>
      </c>
      <c r="B65">
        <v>0.41782808399999999</v>
      </c>
      <c r="C65">
        <v>3.2192000000000002E-3</v>
      </c>
      <c r="D65">
        <v>0</v>
      </c>
      <c r="E65">
        <v>0</v>
      </c>
      <c r="F65">
        <v>0</v>
      </c>
      <c r="G65">
        <v>33.156604999999999</v>
      </c>
      <c r="I65">
        <f t="shared" si="0"/>
        <v>0.15419875865034546</v>
      </c>
      <c r="J65">
        <f t="shared" si="1"/>
        <v>0</v>
      </c>
      <c r="K65">
        <f t="shared" si="2"/>
        <v>0</v>
      </c>
      <c r="L65">
        <f t="shared" si="3"/>
        <v>0</v>
      </c>
    </row>
    <row r="66" spans="1:12" x14ac:dyDescent="0.35">
      <c r="A66" s="1" t="s">
        <v>62</v>
      </c>
      <c r="B66">
        <v>0.41782794400000001</v>
      </c>
      <c r="C66">
        <v>2.3392E-3</v>
      </c>
      <c r="D66">
        <v>0</v>
      </c>
      <c r="E66">
        <v>0</v>
      </c>
      <c r="F66">
        <v>0</v>
      </c>
      <c r="G66">
        <v>33.574432999999999</v>
      </c>
      <c r="I66">
        <f t="shared" si="0"/>
        <v>0.11204704805350077</v>
      </c>
      <c r="J66">
        <f t="shared" si="1"/>
        <v>0</v>
      </c>
      <c r="K66">
        <f t="shared" si="2"/>
        <v>0</v>
      </c>
      <c r="L66">
        <f t="shared" si="3"/>
        <v>0</v>
      </c>
    </row>
    <row r="67" spans="1:12" x14ac:dyDescent="0.35">
      <c r="A67" s="1" t="s">
        <v>63</v>
      </c>
      <c r="B67">
        <v>0.21199999999999999</v>
      </c>
      <c r="C67">
        <v>0</v>
      </c>
      <c r="D67">
        <v>-2.3709669899999999</v>
      </c>
      <c r="E67">
        <v>0</v>
      </c>
      <c r="F67">
        <v>0</v>
      </c>
      <c r="G67">
        <v>33.833432999999999</v>
      </c>
      <c r="I67">
        <f t="shared" si="0"/>
        <v>0</v>
      </c>
      <c r="J67">
        <f t="shared" si="1"/>
        <v>-47.452167353748784</v>
      </c>
      <c r="K67">
        <f t="shared" si="2"/>
        <v>0</v>
      </c>
      <c r="L67">
        <f t="shared" si="3"/>
        <v>0</v>
      </c>
    </row>
    <row r="68" spans="1:12" x14ac:dyDescent="0.35">
      <c r="A68" s="1" t="s">
        <v>64</v>
      </c>
      <c r="B68">
        <v>0.16600000000000001</v>
      </c>
      <c r="C68">
        <v>0</v>
      </c>
      <c r="D68">
        <v>0</v>
      </c>
      <c r="E68">
        <v>-132.861086</v>
      </c>
      <c r="F68">
        <v>0</v>
      </c>
      <c r="G68">
        <v>34.074432999999999</v>
      </c>
      <c r="I68">
        <f t="shared" ref="I68:I131" si="4">$H$2*$C68/$B68</f>
        <v>0</v>
      </c>
      <c r="J68">
        <f t="shared" ref="J68:J131" si="5">$H$2*$D68</f>
        <v>0</v>
      </c>
      <c r="K68">
        <f t="shared" ref="K68:K131" si="6">$H$2*$E68</f>
        <v>-2659.0612666744933</v>
      </c>
      <c r="L68">
        <f t="shared" ref="L68:L131" si="7">$H$2*$F68</f>
        <v>0</v>
      </c>
    </row>
    <row r="69" spans="1:12" x14ac:dyDescent="0.35">
      <c r="A69" s="1" t="s">
        <v>65</v>
      </c>
      <c r="B69">
        <v>0.21199999999999999</v>
      </c>
      <c r="C69">
        <v>0</v>
      </c>
      <c r="D69">
        <v>2.47240752</v>
      </c>
      <c r="E69">
        <v>0</v>
      </c>
      <c r="F69">
        <v>0</v>
      </c>
      <c r="G69">
        <v>34.887286000000003</v>
      </c>
      <c r="I69">
        <f t="shared" si="4"/>
        <v>0</v>
      </c>
      <c r="J69">
        <f t="shared" si="5"/>
        <v>49.48238246273813</v>
      </c>
      <c r="K69">
        <f t="shared" si="6"/>
        <v>0</v>
      </c>
      <c r="L69">
        <f t="shared" si="7"/>
        <v>0</v>
      </c>
    </row>
    <row r="70" spans="1:12" x14ac:dyDescent="0.35">
      <c r="A70" s="1" t="s">
        <v>66</v>
      </c>
      <c r="B70">
        <v>0.1</v>
      </c>
      <c r="C70">
        <v>0</v>
      </c>
      <c r="D70">
        <v>0</v>
      </c>
      <c r="E70">
        <v>172.62799999999999</v>
      </c>
      <c r="F70">
        <v>0</v>
      </c>
      <c r="G70">
        <v>35.062286</v>
      </c>
      <c r="I70">
        <f t="shared" si="4"/>
        <v>0</v>
      </c>
      <c r="J70">
        <f t="shared" si="5"/>
        <v>0</v>
      </c>
      <c r="K70">
        <f t="shared" si="6"/>
        <v>3454.9501450220296</v>
      </c>
      <c r="L70">
        <f t="shared" si="7"/>
        <v>0</v>
      </c>
    </row>
    <row r="71" spans="1:12" x14ac:dyDescent="0.35">
      <c r="A71" s="1" t="s">
        <v>66</v>
      </c>
      <c r="B71">
        <v>0.1</v>
      </c>
      <c r="C71">
        <v>0</v>
      </c>
      <c r="D71">
        <v>0</v>
      </c>
      <c r="E71">
        <v>172.62799999999999</v>
      </c>
      <c r="F71">
        <v>0</v>
      </c>
      <c r="G71">
        <f>35.062286+0.1</f>
        <v>35.162286000000002</v>
      </c>
      <c r="I71">
        <f t="shared" si="4"/>
        <v>0</v>
      </c>
      <c r="J71">
        <f t="shared" si="5"/>
        <v>0</v>
      </c>
      <c r="K71">
        <f t="shared" si="6"/>
        <v>3454.9501450220296</v>
      </c>
      <c r="L71">
        <f t="shared" si="7"/>
        <v>0</v>
      </c>
    </row>
    <row r="72" spans="1:12" x14ac:dyDescent="0.35">
      <c r="A72" s="1" t="s">
        <v>67</v>
      </c>
      <c r="B72">
        <v>0.21199999999999999</v>
      </c>
      <c r="C72">
        <v>0</v>
      </c>
      <c r="D72">
        <v>2.47240752</v>
      </c>
      <c r="E72">
        <v>0</v>
      </c>
      <c r="F72">
        <v>0</v>
      </c>
      <c r="G72">
        <v>35.449286000000001</v>
      </c>
      <c r="I72">
        <f t="shared" si="4"/>
        <v>0</v>
      </c>
      <c r="J72">
        <f t="shared" si="5"/>
        <v>49.48238246273813</v>
      </c>
      <c r="K72">
        <f t="shared" si="6"/>
        <v>0</v>
      </c>
      <c r="L72">
        <f t="shared" si="7"/>
        <v>0</v>
      </c>
    </row>
    <row r="73" spans="1:12" x14ac:dyDescent="0.35">
      <c r="A73" s="1" t="s">
        <v>68</v>
      </c>
      <c r="B73">
        <v>0.09</v>
      </c>
      <c r="C73">
        <v>0</v>
      </c>
      <c r="D73">
        <v>0</v>
      </c>
      <c r="E73">
        <v>0</v>
      </c>
      <c r="F73">
        <v>-13632</v>
      </c>
      <c r="G73">
        <v>35.599285999999999</v>
      </c>
      <c r="I73">
        <f t="shared" si="4"/>
        <v>0</v>
      </c>
      <c r="J73">
        <f t="shared" si="5"/>
        <v>0</v>
      </c>
      <c r="K73">
        <f t="shared" si="6"/>
        <v>0</v>
      </c>
      <c r="L73">
        <f t="shared" si="7"/>
        <v>-272828.74375501258</v>
      </c>
    </row>
    <row r="74" spans="1:12" x14ac:dyDescent="0.35">
      <c r="A74" s="1" t="s">
        <v>69</v>
      </c>
      <c r="B74">
        <v>0.16600000000000001</v>
      </c>
      <c r="C74">
        <v>0</v>
      </c>
      <c r="D74">
        <v>0</v>
      </c>
      <c r="E74">
        <v>-202.23429300000001</v>
      </c>
      <c r="F74">
        <v>0</v>
      </c>
      <c r="G74">
        <v>36.216138999999998</v>
      </c>
      <c r="I74">
        <f t="shared" si="4"/>
        <v>0</v>
      </c>
      <c r="J74">
        <f t="shared" si="5"/>
        <v>0</v>
      </c>
      <c r="K74">
        <f t="shared" si="6"/>
        <v>-4047.4859230760812</v>
      </c>
      <c r="L74">
        <f t="shared" si="7"/>
        <v>0</v>
      </c>
    </row>
    <row r="75" spans="1:12" x14ac:dyDescent="0.35">
      <c r="A75" s="1" t="s">
        <v>70</v>
      </c>
      <c r="B75">
        <v>0.21199999999999999</v>
      </c>
      <c r="C75">
        <v>0</v>
      </c>
      <c r="D75">
        <v>-2.53358734</v>
      </c>
      <c r="E75">
        <v>0</v>
      </c>
      <c r="F75">
        <v>0</v>
      </c>
      <c r="G75">
        <v>36.503138999999997</v>
      </c>
      <c r="I75">
        <f t="shared" si="4"/>
        <v>0</v>
      </c>
      <c r="J75">
        <f t="shared" si="5"/>
        <v>-50.706825936458621</v>
      </c>
      <c r="K75">
        <f t="shared" si="6"/>
        <v>0</v>
      </c>
      <c r="L75">
        <f t="shared" si="7"/>
        <v>0</v>
      </c>
    </row>
    <row r="76" spans="1:12" x14ac:dyDescent="0.35">
      <c r="A76" s="1" t="s">
        <v>20</v>
      </c>
      <c r="B76">
        <v>0.41782794400000001</v>
      </c>
      <c r="C76">
        <v>2.3392E-3</v>
      </c>
      <c r="D76">
        <v>0</v>
      </c>
      <c r="E76">
        <v>0</v>
      </c>
      <c r="F76">
        <v>0</v>
      </c>
      <c r="G76">
        <v>36.967967000000002</v>
      </c>
      <c r="I76">
        <f t="shared" si="4"/>
        <v>0.11204704805350077</v>
      </c>
      <c r="J76">
        <f t="shared" si="5"/>
        <v>0</v>
      </c>
      <c r="K76">
        <f t="shared" si="6"/>
        <v>0</v>
      </c>
      <c r="L76">
        <f t="shared" si="7"/>
        <v>0</v>
      </c>
    </row>
    <row r="77" spans="1:12" x14ac:dyDescent="0.35">
      <c r="A77" s="1" t="s">
        <v>21</v>
      </c>
      <c r="B77">
        <v>0.41782808399999999</v>
      </c>
      <c r="C77">
        <v>3.2192000000000002E-3</v>
      </c>
      <c r="D77">
        <v>0</v>
      </c>
      <c r="E77">
        <v>0</v>
      </c>
      <c r="F77">
        <v>0</v>
      </c>
      <c r="G77">
        <v>37.385795000000002</v>
      </c>
      <c r="I77">
        <f t="shared" si="4"/>
        <v>0.15419875865034546</v>
      </c>
      <c r="J77">
        <f t="shared" si="5"/>
        <v>0</v>
      </c>
      <c r="K77">
        <f t="shared" si="6"/>
        <v>0</v>
      </c>
      <c r="L77">
        <f t="shared" si="7"/>
        <v>0</v>
      </c>
    </row>
    <row r="78" spans="1:12" x14ac:dyDescent="0.35">
      <c r="A78" s="1" t="s">
        <v>22</v>
      </c>
      <c r="B78">
        <v>0.41782827500000003</v>
      </c>
      <c r="C78">
        <v>4.1392E-3</v>
      </c>
      <c r="D78">
        <v>0</v>
      </c>
      <c r="E78">
        <v>0</v>
      </c>
      <c r="F78">
        <v>0</v>
      </c>
      <c r="G78">
        <v>37.803623999999999</v>
      </c>
      <c r="I78">
        <f t="shared" si="4"/>
        <v>0.19826640470947862</v>
      </c>
      <c r="J78">
        <f t="shared" si="5"/>
        <v>0</v>
      </c>
      <c r="K78">
        <f t="shared" si="6"/>
        <v>0</v>
      </c>
      <c r="L78">
        <f t="shared" si="7"/>
        <v>0</v>
      </c>
    </row>
    <row r="79" spans="1:12" x14ac:dyDescent="0.35">
      <c r="A79" s="1" t="s">
        <v>23</v>
      </c>
      <c r="B79">
        <v>0.41782864199999997</v>
      </c>
      <c r="C79">
        <v>5.4992000000000001E-3</v>
      </c>
      <c r="D79">
        <v>0</v>
      </c>
      <c r="E79">
        <v>0</v>
      </c>
      <c r="F79">
        <v>0</v>
      </c>
      <c r="G79">
        <v>38.221451999999999</v>
      </c>
      <c r="I79">
        <f t="shared" si="4"/>
        <v>0.26340975432619773</v>
      </c>
      <c r="J79">
        <f t="shared" si="5"/>
        <v>0</v>
      </c>
      <c r="K79">
        <f t="shared" si="6"/>
        <v>0</v>
      </c>
      <c r="L79">
        <f t="shared" si="7"/>
        <v>0</v>
      </c>
    </row>
    <row r="80" spans="1:12" x14ac:dyDescent="0.35">
      <c r="A80" s="1" t="s">
        <v>24</v>
      </c>
      <c r="B80">
        <v>0.41782941899999998</v>
      </c>
      <c r="C80">
        <v>7.6290999999999998E-3</v>
      </c>
      <c r="D80">
        <v>0</v>
      </c>
      <c r="E80">
        <v>0</v>
      </c>
      <c r="F80">
        <v>0</v>
      </c>
      <c r="G80">
        <v>38.639282000000001</v>
      </c>
      <c r="I80">
        <f t="shared" si="4"/>
        <v>0.36543053893202671</v>
      </c>
      <c r="J80">
        <f t="shared" si="5"/>
        <v>0</v>
      </c>
      <c r="K80">
        <f t="shared" si="6"/>
        <v>0</v>
      </c>
      <c r="L80">
        <f t="shared" si="7"/>
        <v>0</v>
      </c>
    </row>
    <row r="81" spans="1:12" x14ac:dyDescent="0.35">
      <c r="A81" s="1" t="s">
        <v>71</v>
      </c>
      <c r="B81">
        <v>0.3745</v>
      </c>
      <c r="C81">
        <v>0</v>
      </c>
      <c r="D81">
        <v>4.5116622</v>
      </c>
      <c r="E81">
        <v>0</v>
      </c>
      <c r="F81">
        <v>0</v>
      </c>
      <c r="G81">
        <v>39.163781999999998</v>
      </c>
      <c r="I81">
        <f t="shared" si="4"/>
        <v>0</v>
      </c>
      <c r="J81">
        <f t="shared" si="5"/>
        <v>90.29571084748946</v>
      </c>
      <c r="K81">
        <f t="shared" si="6"/>
        <v>0</v>
      </c>
      <c r="L81">
        <f t="shared" si="7"/>
        <v>0</v>
      </c>
    </row>
    <row r="82" spans="1:12" x14ac:dyDescent="0.35">
      <c r="A82" s="1" t="s">
        <v>72</v>
      </c>
      <c r="B82">
        <v>1.0280365199999999</v>
      </c>
      <c r="C82">
        <v>2.4767999999999998E-2</v>
      </c>
      <c r="D82">
        <v>-1.929</v>
      </c>
      <c r="E82">
        <v>0</v>
      </c>
      <c r="F82">
        <v>0</v>
      </c>
      <c r="G82">
        <v>40.281818000000001</v>
      </c>
      <c r="I82">
        <f t="shared" si="4"/>
        <v>0.48218416286837618</v>
      </c>
      <c r="J82">
        <f t="shared" si="5"/>
        <v>-38.606708238220314</v>
      </c>
      <c r="K82">
        <f t="shared" si="6"/>
        <v>0</v>
      </c>
      <c r="L82">
        <f t="shared" si="7"/>
        <v>0</v>
      </c>
    </row>
    <row r="83" spans="1:12" x14ac:dyDescent="0.35">
      <c r="A83" s="1" t="s">
        <v>73</v>
      </c>
      <c r="B83">
        <v>0.4975</v>
      </c>
      <c r="C83">
        <v>0</v>
      </c>
      <c r="D83">
        <v>4.61414189</v>
      </c>
      <c r="E83">
        <v>0</v>
      </c>
      <c r="F83">
        <v>0</v>
      </c>
      <c r="G83">
        <v>40.869318</v>
      </c>
      <c r="I83">
        <f t="shared" si="4"/>
        <v>0</v>
      </c>
      <c r="J83">
        <f t="shared" si="5"/>
        <v>92.346723544313335</v>
      </c>
      <c r="K83">
        <f t="shared" si="6"/>
        <v>0</v>
      </c>
      <c r="L83">
        <f t="shared" si="7"/>
        <v>0</v>
      </c>
    </row>
    <row r="84" spans="1:12" x14ac:dyDescent="0.35">
      <c r="A84" s="1" t="s">
        <v>28</v>
      </c>
      <c r="B84">
        <v>0.1</v>
      </c>
      <c r="C84">
        <v>0</v>
      </c>
      <c r="D84">
        <v>0</v>
      </c>
      <c r="E84">
        <v>0</v>
      </c>
      <c r="F84">
        <v>0</v>
      </c>
      <c r="G84">
        <v>41.040388999999998</v>
      </c>
      <c r="I84">
        <f t="shared" si="4"/>
        <v>0</v>
      </c>
      <c r="J84">
        <f t="shared" si="5"/>
        <v>0</v>
      </c>
      <c r="K84">
        <f t="shared" si="6"/>
        <v>0</v>
      </c>
      <c r="L84">
        <f t="shared" si="7"/>
        <v>0</v>
      </c>
    </row>
    <row r="85" spans="1:12" x14ac:dyDescent="0.35">
      <c r="A85" s="1" t="s">
        <v>74</v>
      </c>
      <c r="B85">
        <v>0.40000102700000001</v>
      </c>
      <c r="C85">
        <v>5.2300999999999997E-3</v>
      </c>
      <c r="D85">
        <v>-1.5815999999999999</v>
      </c>
      <c r="E85">
        <v>0</v>
      </c>
      <c r="F85">
        <v>0</v>
      </c>
      <c r="G85">
        <v>41.533389999999997</v>
      </c>
      <c r="I85">
        <f t="shared" si="4"/>
        <v>0.26168536331815889</v>
      </c>
      <c r="J85">
        <f t="shared" si="5"/>
        <v>-31.653898263125576</v>
      </c>
      <c r="K85">
        <f t="shared" si="6"/>
        <v>0</v>
      </c>
      <c r="L85">
        <f t="shared" si="7"/>
        <v>0</v>
      </c>
    </row>
    <row r="86" spans="1:12" x14ac:dyDescent="0.35">
      <c r="A86" s="1" t="s">
        <v>30</v>
      </c>
      <c r="B86">
        <v>2.44294E-2</v>
      </c>
      <c r="C86">
        <v>1.0499000000000001E-3</v>
      </c>
      <c r="D86">
        <v>0</v>
      </c>
      <c r="E86">
        <v>0</v>
      </c>
      <c r="F86">
        <v>0</v>
      </c>
      <c r="G86">
        <v>41.628318999999998</v>
      </c>
      <c r="I86">
        <f t="shared" si="4"/>
        <v>0.8601331402616047</v>
      </c>
      <c r="J86">
        <f t="shared" si="5"/>
        <v>0</v>
      </c>
      <c r="K86">
        <f t="shared" si="6"/>
        <v>0</v>
      </c>
      <c r="L86">
        <f t="shared" si="7"/>
        <v>0</v>
      </c>
    </row>
    <row r="87" spans="1:12" x14ac:dyDescent="0.35">
      <c r="A87" s="1" t="s">
        <v>30</v>
      </c>
      <c r="B87">
        <v>2.44294E-2</v>
      </c>
      <c r="C87">
        <v>1.0499000000000001E-3</v>
      </c>
      <c r="D87">
        <v>0</v>
      </c>
      <c r="E87">
        <v>0</v>
      </c>
      <c r="F87">
        <v>0</v>
      </c>
      <c r="G87">
        <f>41.628319+0.0244294</f>
        <v>41.6527484</v>
      </c>
      <c r="I87">
        <f t="shared" si="4"/>
        <v>0.8601331402616047</v>
      </c>
      <c r="J87">
        <f t="shared" si="5"/>
        <v>0</v>
      </c>
      <c r="K87">
        <f t="shared" si="6"/>
        <v>0</v>
      </c>
      <c r="L87">
        <f t="shared" si="7"/>
        <v>0</v>
      </c>
    </row>
    <row r="88" spans="1:12" x14ac:dyDescent="0.35">
      <c r="A88" s="1" t="s">
        <v>75</v>
      </c>
      <c r="B88">
        <v>0.40000102700000001</v>
      </c>
      <c r="C88">
        <v>5.2300999999999997E-3</v>
      </c>
      <c r="D88">
        <v>-1.5815999999999999</v>
      </c>
      <c r="E88">
        <v>0</v>
      </c>
      <c r="F88">
        <v>0</v>
      </c>
      <c r="G88">
        <v>42.123249999999999</v>
      </c>
      <c r="I88">
        <f t="shared" si="4"/>
        <v>0.26168536331815889</v>
      </c>
      <c r="J88">
        <f t="shared" si="5"/>
        <v>-31.653898263125576</v>
      </c>
      <c r="K88">
        <f t="shared" si="6"/>
        <v>0</v>
      </c>
      <c r="L88">
        <f t="shared" si="7"/>
        <v>0</v>
      </c>
    </row>
    <row r="89" spans="1:12" x14ac:dyDescent="0.35">
      <c r="A89" s="1" t="s">
        <v>76</v>
      </c>
      <c r="B89">
        <v>0.4975</v>
      </c>
      <c r="C89">
        <v>0</v>
      </c>
      <c r="D89">
        <v>4.61414189</v>
      </c>
      <c r="E89">
        <v>0</v>
      </c>
      <c r="F89">
        <v>0</v>
      </c>
      <c r="G89">
        <v>42.884819999999998</v>
      </c>
      <c r="I89">
        <f t="shared" si="4"/>
        <v>0</v>
      </c>
      <c r="J89">
        <f t="shared" si="5"/>
        <v>92.346723544313335</v>
      </c>
      <c r="K89">
        <f t="shared" si="6"/>
        <v>0</v>
      </c>
      <c r="L89">
        <f t="shared" si="7"/>
        <v>0</v>
      </c>
    </row>
    <row r="90" spans="1:12" x14ac:dyDescent="0.35">
      <c r="A90" s="1" t="s">
        <v>77</v>
      </c>
      <c r="B90">
        <v>1.0280365199999999</v>
      </c>
      <c r="C90">
        <v>2.4767999999999998E-2</v>
      </c>
      <c r="D90">
        <v>-1.929</v>
      </c>
      <c r="E90">
        <v>0</v>
      </c>
      <c r="F90">
        <v>0</v>
      </c>
      <c r="G90">
        <v>44.002856999999999</v>
      </c>
      <c r="I90">
        <f t="shared" si="4"/>
        <v>0.48218416286837618</v>
      </c>
      <c r="J90">
        <f t="shared" si="5"/>
        <v>-38.606708238220314</v>
      </c>
      <c r="K90">
        <f t="shared" si="6"/>
        <v>0</v>
      </c>
      <c r="L90">
        <f t="shared" si="7"/>
        <v>0</v>
      </c>
    </row>
    <row r="91" spans="1:12" x14ac:dyDescent="0.35">
      <c r="A91" s="1" t="s">
        <v>78</v>
      </c>
      <c r="B91">
        <v>0.3745</v>
      </c>
      <c r="C91">
        <v>0</v>
      </c>
      <c r="D91">
        <v>4.5116622</v>
      </c>
      <c r="E91">
        <v>0</v>
      </c>
      <c r="F91">
        <v>0</v>
      </c>
      <c r="G91">
        <v>44.467357</v>
      </c>
      <c r="I91">
        <f t="shared" si="4"/>
        <v>0</v>
      </c>
      <c r="J91">
        <f t="shared" si="5"/>
        <v>90.29571084748946</v>
      </c>
      <c r="K91">
        <f t="shared" si="6"/>
        <v>0</v>
      </c>
      <c r="L91">
        <f t="shared" si="7"/>
        <v>0</v>
      </c>
    </row>
    <row r="92" spans="1:12" x14ac:dyDescent="0.35">
      <c r="A92" s="1" t="s">
        <v>35</v>
      </c>
      <c r="B92">
        <v>0.41782941899999998</v>
      </c>
      <c r="C92">
        <v>7.6290999999999998E-3</v>
      </c>
      <c r="D92">
        <v>0</v>
      </c>
      <c r="E92">
        <v>0</v>
      </c>
      <c r="F92">
        <v>0</v>
      </c>
      <c r="G92">
        <v>45.035186000000003</v>
      </c>
      <c r="I92">
        <f t="shared" si="4"/>
        <v>0.36543053893202671</v>
      </c>
      <c r="J92">
        <f t="shared" si="5"/>
        <v>0</v>
      </c>
      <c r="K92">
        <f t="shared" si="6"/>
        <v>0</v>
      </c>
      <c r="L92">
        <f t="shared" si="7"/>
        <v>0</v>
      </c>
    </row>
    <row r="93" spans="1:12" x14ac:dyDescent="0.35">
      <c r="A93" s="1" t="s">
        <v>36</v>
      </c>
      <c r="B93">
        <v>0.41782864199999997</v>
      </c>
      <c r="C93">
        <v>5.4992000000000001E-3</v>
      </c>
      <c r="D93">
        <v>0</v>
      </c>
      <c r="E93">
        <v>0</v>
      </c>
      <c r="F93">
        <v>0</v>
      </c>
      <c r="G93">
        <v>45.453015000000001</v>
      </c>
      <c r="I93">
        <f t="shared" si="4"/>
        <v>0.26340975432619773</v>
      </c>
      <c r="J93">
        <f t="shared" si="5"/>
        <v>0</v>
      </c>
      <c r="K93">
        <f t="shared" si="6"/>
        <v>0</v>
      </c>
      <c r="L93">
        <f t="shared" si="7"/>
        <v>0</v>
      </c>
    </row>
    <row r="94" spans="1:12" x14ac:dyDescent="0.35">
      <c r="A94" s="1" t="s">
        <v>37</v>
      </c>
      <c r="B94">
        <v>0.41782827500000003</v>
      </c>
      <c r="C94">
        <v>4.1392E-3</v>
      </c>
      <c r="D94">
        <v>0</v>
      </c>
      <c r="E94">
        <v>0</v>
      </c>
      <c r="F94">
        <v>0</v>
      </c>
      <c r="G94">
        <v>45.870843000000001</v>
      </c>
      <c r="I94">
        <f t="shared" si="4"/>
        <v>0.19826640470947862</v>
      </c>
      <c r="J94">
        <f t="shared" si="5"/>
        <v>0</v>
      </c>
      <c r="K94">
        <f t="shared" si="6"/>
        <v>0</v>
      </c>
      <c r="L94">
        <f t="shared" si="7"/>
        <v>0</v>
      </c>
    </row>
    <row r="95" spans="1:12" x14ac:dyDescent="0.35">
      <c r="A95" s="1" t="s">
        <v>38</v>
      </c>
      <c r="B95">
        <v>0.41782808399999999</v>
      </c>
      <c r="C95">
        <v>3.2192000000000002E-3</v>
      </c>
      <c r="D95">
        <v>0</v>
      </c>
      <c r="E95">
        <v>0</v>
      </c>
      <c r="F95">
        <v>0</v>
      </c>
      <c r="G95">
        <v>46.288671000000001</v>
      </c>
      <c r="I95">
        <f t="shared" si="4"/>
        <v>0.15419875865034546</v>
      </c>
      <c r="J95">
        <f t="shared" si="5"/>
        <v>0</v>
      </c>
      <c r="K95">
        <f t="shared" si="6"/>
        <v>0</v>
      </c>
      <c r="L95">
        <f t="shared" si="7"/>
        <v>0</v>
      </c>
    </row>
    <row r="96" spans="1:12" x14ac:dyDescent="0.35">
      <c r="A96" s="1" t="s">
        <v>39</v>
      </c>
      <c r="B96">
        <v>0.41782794400000001</v>
      </c>
      <c r="C96">
        <v>2.3392E-3</v>
      </c>
      <c r="D96">
        <v>0</v>
      </c>
      <c r="E96">
        <v>0</v>
      </c>
      <c r="F96">
        <v>0</v>
      </c>
      <c r="G96">
        <v>46.706499000000001</v>
      </c>
      <c r="I96">
        <f t="shared" si="4"/>
        <v>0.11204704805350077</v>
      </c>
      <c r="J96">
        <f t="shared" si="5"/>
        <v>0</v>
      </c>
      <c r="K96">
        <f t="shared" si="6"/>
        <v>0</v>
      </c>
      <c r="L96">
        <f t="shared" si="7"/>
        <v>0</v>
      </c>
    </row>
    <row r="97" spans="1:12" x14ac:dyDescent="0.35">
      <c r="A97" s="1" t="s">
        <v>79</v>
      </c>
      <c r="B97">
        <v>0.21199999999999999</v>
      </c>
      <c r="C97">
        <v>0</v>
      </c>
      <c r="D97">
        <v>-2.53358734</v>
      </c>
      <c r="E97">
        <v>0</v>
      </c>
      <c r="F97">
        <v>0</v>
      </c>
      <c r="G97">
        <v>46.965499000000001</v>
      </c>
      <c r="I97">
        <f t="shared" si="4"/>
        <v>0</v>
      </c>
      <c r="J97">
        <f t="shared" si="5"/>
        <v>-50.706825936458621</v>
      </c>
      <c r="K97">
        <f t="shared" si="6"/>
        <v>0</v>
      </c>
      <c r="L97">
        <f t="shared" si="7"/>
        <v>0</v>
      </c>
    </row>
    <row r="98" spans="1:12" x14ac:dyDescent="0.35">
      <c r="A98" s="1" t="s">
        <v>80</v>
      </c>
      <c r="B98">
        <v>0.16600000000000001</v>
      </c>
      <c r="C98">
        <v>0</v>
      </c>
      <c r="D98">
        <v>0</v>
      </c>
      <c r="E98">
        <v>-202.23429300000001</v>
      </c>
      <c r="F98">
        <v>0</v>
      </c>
      <c r="G98">
        <v>47.206499000000001</v>
      </c>
      <c r="I98">
        <f t="shared" si="4"/>
        <v>0</v>
      </c>
      <c r="J98">
        <f t="shared" si="5"/>
        <v>0</v>
      </c>
      <c r="K98">
        <f t="shared" si="6"/>
        <v>-4047.4859230760812</v>
      </c>
      <c r="L98">
        <f t="shared" si="7"/>
        <v>0</v>
      </c>
    </row>
    <row r="99" spans="1:12" x14ac:dyDescent="0.35">
      <c r="A99" s="1" t="s">
        <v>81</v>
      </c>
      <c r="B99">
        <v>0.09</v>
      </c>
      <c r="C99">
        <v>0</v>
      </c>
      <c r="D99">
        <v>0</v>
      </c>
      <c r="E99">
        <v>0</v>
      </c>
      <c r="F99">
        <v>-13632</v>
      </c>
      <c r="G99">
        <v>47.747352999999997</v>
      </c>
      <c r="I99">
        <f t="shared" si="4"/>
        <v>0</v>
      </c>
      <c r="J99">
        <f t="shared" si="5"/>
        <v>0</v>
      </c>
      <c r="K99">
        <f t="shared" si="6"/>
        <v>0</v>
      </c>
      <c r="L99">
        <f t="shared" si="7"/>
        <v>-272828.74375501258</v>
      </c>
    </row>
    <row r="100" spans="1:12" x14ac:dyDescent="0.35">
      <c r="A100" s="1" t="s">
        <v>82</v>
      </c>
      <c r="B100">
        <v>0.21199999999999999</v>
      </c>
      <c r="C100">
        <v>0</v>
      </c>
      <c r="D100">
        <v>2.47240752</v>
      </c>
      <c r="E100">
        <v>0</v>
      </c>
      <c r="F100">
        <v>0</v>
      </c>
      <c r="G100">
        <v>48.019353000000002</v>
      </c>
      <c r="I100">
        <f t="shared" si="4"/>
        <v>0</v>
      </c>
      <c r="J100">
        <f t="shared" si="5"/>
        <v>49.48238246273813</v>
      </c>
      <c r="K100">
        <f t="shared" si="6"/>
        <v>0</v>
      </c>
      <c r="L100">
        <f t="shared" si="7"/>
        <v>0</v>
      </c>
    </row>
    <row r="101" spans="1:12" x14ac:dyDescent="0.35">
      <c r="A101" s="1" t="s">
        <v>83</v>
      </c>
      <c r="B101">
        <v>0.1</v>
      </c>
      <c r="C101">
        <v>0</v>
      </c>
      <c r="D101">
        <v>0</v>
      </c>
      <c r="E101">
        <v>172.62799999999999</v>
      </c>
      <c r="F101">
        <v>0</v>
      </c>
      <c r="G101">
        <v>48.194353</v>
      </c>
      <c r="I101">
        <f t="shared" si="4"/>
        <v>0</v>
      </c>
      <c r="J101">
        <f t="shared" si="5"/>
        <v>0</v>
      </c>
      <c r="K101">
        <f t="shared" si="6"/>
        <v>3454.9501450220296</v>
      </c>
      <c r="L101">
        <f t="shared" si="7"/>
        <v>0</v>
      </c>
    </row>
    <row r="102" spans="1:12" x14ac:dyDescent="0.35">
      <c r="A102" s="1" t="s">
        <v>83</v>
      </c>
      <c r="B102">
        <v>0.1</v>
      </c>
      <c r="C102">
        <v>0</v>
      </c>
      <c r="D102">
        <v>0</v>
      </c>
      <c r="E102">
        <v>172.62799999999999</v>
      </c>
      <c r="F102">
        <v>0</v>
      </c>
      <c r="G102">
        <f>0.1+48.194353</f>
        <v>48.294353000000001</v>
      </c>
      <c r="I102">
        <f t="shared" si="4"/>
        <v>0</v>
      </c>
      <c r="J102">
        <f t="shared" si="5"/>
        <v>0</v>
      </c>
      <c r="K102">
        <f t="shared" si="6"/>
        <v>3454.9501450220296</v>
      </c>
      <c r="L102">
        <f t="shared" si="7"/>
        <v>0</v>
      </c>
    </row>
    <row r="103" spans="1:12" x14ac:dyDescent="0.35">
      <c r="A103" s="1" t="s">
        <v>84</v>
      </c>
      <c r="B103">
        <v>0.21199999999999999</v>
      </c>
      <c r="C103">
        <v>0</v>
      </c>
      <c r="D103">
        <v>2.47240752</v>
      </c>
      <c r="E103">
        <v>0</v>
      </c>
      <c r="F103">
        <v>0</v>
      </c>
      <c r="G103">
        <v>48.581353</v>
      </c>
      <c r="I103">
        <f t="shared" si="4"/>
        <v>0</v>
      </c>
      <c r="J103">
        <f t="shared" si="5"/>
        <v>49.48238246273813</v>
      </c>
      <c r="K103">
        <f t="shared" si="6"/>
        <v>0</v>
      </c>
      <c r="L103">
        <f t="shared" si="7"/>
        <v>0</v>
      </c>
    </row>
    <row r="104" spans="1:12" x14ac:dyDescent="0.35">
      <c r="A104" s="1" t="s">
        <v>85</v>
      </c>
      <c r="B104">
        <v>0.16600000000000001</v>
      </c>
      <c r="C104">
        <v>0</v>
      </c>
      <c r="D104">
        <v>0</v>
      </c>
      <c r="E104">
        <v>-132.861086</v>
      </c>
      <c r="F104">
        <v>0</v>
      </c>
      <c r="G104">
        <v>49.348205999999998</v>
      </c>
      <c r="I104">
        <f t="shared" si="4"/>
        <v>0</v>
      </c>
      <c r="J104">
        <f t="shared" si="5"/>
        <v>0</v>
      </c>
      <c r="K104">
        <f t="shared" si="6"/>
        <v>-2659.0612666744933</v>
      </c>
      <c r="L104">
        <f t="shared" si="7"/>
        <v>0</v>
      </c>
    </row>
    <row r="105" spans="1:12" x14ac:dyDescent="0.35">
      <c r="A105" s="1" t="s">
        <v>86</v>
      </c>
      <c r="B105">
        <v>0.21199999999999999</v>
      </c>
      <c r="C105">
        <v>0</v>
      </c>
      <c r="D105">
        <v>-2.3709669899999999</v>
      </c>
      <c r="E105">
        <v>0</v>
      </c>
      <c r="F105">
        <v>0</v>
      </c>
      <c r="G105">
        <v>49.635205999999997</v>
      </c>
      <c r="I105">
        <f t="shared" si="4"/>
        <v>0</v>
      </c>
      <c r="J105">
        <f t="shared" si="5"/>
        <v>-47.452167353748784</v>
      </c>
      <c r="K105">
        <f t="shared" si="6"/>
        <v>0</v>
      </c>
      <c r="L105">
        <f t="shared" si="7"/>
        <v>0</v>
      </c>
    </row>
    <row r="106" spans="1:12" x14ac:dyDescent="0.35">
      <c r="A106" s="1" t="s">
        <v>48</v>
      </c>
      <c r="B106">
        <v>0.41782794400000001</v>
      </c>
      <c r="C106">
        <v>2.3392E-3</v>
      </c>
      <c r="D106">
        <v>0</v>
      </c>
      <c r="E106">
        <v>0</v>
      </c>
      <c r="F106">
        <v>0</v>
      </c>
      <c r="G106">
        <v>50.100034000000001</v>
      </c>
      <c r="I106">
        <f t="shared" si="4"/>
        <v>0.11204704805350077</v>
      </c>
      <c r="J106">
        <f t="shared" si="5"/>
        <v>0</v>
      </c>
      <c r="K106">
        <f t="shared" si="6"/>
        <v>0</v>
      </c>
      <c r="L106">
        <f t="shared" si="7"/>
        <v>0</v>
      </c>
    </row>
    <row r="107" spans="1:12" x14ac:dyDescent="0.35">
      <c r="A107" s="1" t="s">
        <v>49</v>
      </c>
      <c r="B107">
        <v>0.41782808399999999</v>
      </c>
      <c r="C107">
        <v>3.2192000000000002E-3</v>
      </c>
      <c r="D107">
        <v>0</v>
      </c>
      <c r="E107">
        <v>0</v>
      </c>
      <c r="F107">
        <v>0</v>
      </c>
      <c r="G107">
        <v>50.517862000000001</v>
      </c>
      <c r="I107">
        <f t="shared" si="4"/>
        <v>0.15419875865034546</v>
      </c>
      <c r="J107">
        <f t="shared" si="5"/>
        <v>0</v>
      </c>
      <c r="K107">
        <f t="shared" si="6"/>
        <v>0</v>
      </c>
      <c r="L107">
        <f t="shared" si="7"/>
        <v>0</v>
      </c>
    </row>
    <row r="108" spans="1:12" x14ac:dyDescent="0.35">
      <c r="A108" s="1" t="s">
        <v>50</v>
      </c>
      <c r="B108">
        <v>0.41782827500000003</v>
      </c>
      <c r="C108">
        <v>4.1392E-3</v>
      </c>
      <c r="D108">
        <v>0</v>
      </c>
      <c r="E108">
        <v>0</v>
      </c>
      <c r="F108">
        <v>0</v>
      </c>
      <c r="G108">
        <v>50.935690000000001</v>
      </c>
      <c r="I108">
        <f t="shared" si="4"/>
        <v>0.19826640470947862</v>
      </c>
      <c r="J108">
        <f t="shared" si="5"/>
        <v>0</v>
      </c>
      <c r="K108">
        <f t="shared" si="6"/>
        <v>0</v>
      </c>
      <c r="L108">
        <f t="shared" si="7"/>
        <v>0</v>
      </c>
    </row>
    <row r="109" spans="1:12" x14ac:dyDescent="0.35">
      <c r="A109" s="1" t="s">
        <v>51</v>
      </c>
      <c r="B109">
        <v>0.41782864199999997</v>
      </c>
      <c r="C109">
        <v>5.4992000000000001E-3</v>
      </c>
      <c r="D109">
        <v>0</v>
      </c>
      <c r="E109">
        <v>0</v>
      </c>
      <c r="F109">
        <v>0</v>
      </c>
      <c r="G109">
        <v>51.353518999999999</v>
      </c>
      <c r="I109">
        <f t="shared" si="4"/>
        <v>0.26340975432619773</v>
      </c>
      <c r="J109">
        <f t="shared" si="5"/>
        <v>0</v>
      </c>
      <c r="K109">
        <f t="shared" si="6"/>
        <v>0</v>
      </c>
      <c r="L109">
        <f t="shared" si="7"/>
        <v>0</v>
      </c>
    </row>
    <row r="110" spans="1:12" x14ac:dyDescent="0.35">
      <c r="A110" s="1" t="s">
        <v>52</v>
      </c>
      <c r="B110">
        <v>0.41783028900000002</v>
      </c>
      <c r="C110">
        <v>9.4690999999999994E-3</v>
      </c>
      <c r="D110">
        <v>0</v>
      </c>
      <c r="E110">
        <v>0</v>
      </c>
      <c r="F110">
        <v>0</v>
      </c>
      <c r="G110">
        <v>51.771349000000001</v>
      </c>
      <c r="I110">
        <f t="shared" si="4"/>
        <v>0.45356478630764774</v>
      </c>
      <c r="J110">
        <f t="shared" si="5"/>
        <v>0</v>
      </c>
      <c r="K110">
        <f t="shared" si="6"/>
        <v>0</v>
      </c>
      <c r="L110">
        <f t="shared" si="7"/>
        <v>0</v>
      </c>
    </row>
    <row r="111" spans="1:12" x14ac:dyDescent="0.35">
      <c r="A111" s="1" t="s">
        <v>87</v>
      </c>
      <c r="B111">
        <v>0.16200000000000001</v>
      </c>
      <c r="C111">
        <v>0</v>
      </c>
      <c r="D111">
        <v>-2.8698264299999998</v>
      </c>
      <c r="E111">
        <v>0</v>
      </c>
      <c r="F111">
        <v>0</v>
      </c>
      <c r="G111">
        <v>51.980348999999997</v>
      </c>
      <c r="I111">
        <f t="shared" si="4"/>
        <v>0</v>
      </c>
      <c r="J111">
        <f t="shared" si="5"/>
        <v>-57.436263181619168</v>
      </c>
      <c r="K111">
        <f t="shared" si="6"/>
        <v>0</v>
      </c>
      <c r="L111">
        <f t="shared" si="7"/>
        <v>0</v>
      </c>
    </row>
    <row r="112" spans="1:12" x14ac:dyDescent="0.35">
      <c r="A112" s="1" t="s">
        <v>54</v>
      </c>
      <c r="B112">
        <v>0.1</v>
      </c>
      <c r="C112">
        <v>0</v>
      </c>
      <c r="D112">
        <v>0</v>
      </c>
      <c r="E112">
        <v>0</v>
      </c>
      <c r="F112">
        <v>0</v>
      </c>
      <c r="G112">
        <v>52.310349000000002</v>
      </c>
      <c r="I112">
        <f t="shared" si="4"/>
        <v>0</v>
      </c>
      <c r="J112">
        <f t="shared" si="5"/>
        <v>0</v>
      </c>
      <c r="K112">
        <f t="shared" si="6"/>
        <v>0</v>
      </c>
      <c r="L112">
        <f t="shared" si="7"/>
        <v>0</v>
      </c>
    </row>
    <row r="113" spans="1:12" x14ac:dyDescent="0.35">
      <c r="A113" s="1" t="s">
        <v>88</v>
      </c>
      <c r="B113">
        <v>0.29499999999999998</v>
      </c>
      <c r="C113">
        <v>0</v>
      </c>
      <c r="D113">
        <v>2.43875777</v>
      </c>
      <c r="E113">
        <v>0</v>
      </c>
      <c r="F113">
        <v>0</v>
      </c>
      <c r="G113">
        <v>52.715349000000003</v>
      </c>
      <c r="I113">
        <f t="shared" si="4"/>
        <v>0</v>
      </c>
      <c r="J113">
        <f t="shared" si="5"/>
        <v>48.808921560436907</v>
      </c>
      <c r="K113">
        <f t="shared" si="6"/>
        <v>0</v>
      </c>
      <c r="L113">
        <f t="shared" si="7"/>
        <v>0</v>
      </c>
    </row>
    <row r="114" spans="1:12" x14ac:dyDescent="0.35">
      <c r="A114" s="1" t="s">
        <v>56</v>
      </c>
      <c r="B114">
        <v>0.29499999999999998</v>
      </c>
      <c r="C114">
        <v>0</v>
      </c>
      <c r="D114">
        <v>2.43875777</v>
      </c>
      <c r="E114">
        <v>0</v>
      </c>
      <c r="F114">
        <v>0</v>
      </c>
      <c r="G114">
        <v>58.588501999999998</v>
      </c>
      <c r="I114">
        <f t="shared" si="4"/>
        <v>0</v>
      </c>
      <c r="J114">
        <f t="shared" si="5"/>
        <v>48.808921560436907</v>
      </c>
      <c r="K114">
        <f t="shared" si="6"/>
        <v>0</v>
      </c>
      <c r="L114">
        <f t="shared" si="7"/>
        <v>0</v>
      </c>
    </row>
    <row r="115" spans="1:12" x14ac:dyDescent="0.35">
      <c r="A115" s="1" t="s">
        <v>2</v>
      </c>
      <c r="B115">
        <v>0.1</v>
      </c>
      <c r="C115">
        <v>0</v>
      </c>
      <c r="D115">
        <v>0</v>
      </c>
      <c r="E115">
        <v>0</v>
      </c>
      <c r="F115">
        <v>0</v>
      </c>
      <c r="G115">
        <v>58.798501999999999</v>
      </c>
      <c r="I115">
        <f t="shared" si="4"/>
        <v>0</v>
      </c>
      <c r="J115">
        <f t="shared" si="5"/>
        <v>0</v>
      </c>
      <c r="K115">
        <f t="shared" si="6"/>
        <v>0</v>
      </c>
      <c r="L115">
        <f t="shared" si="7"/>
        <v>0</v>
      </c>
    </row>
    <row r="116" spans="1:12" x14ac:dyDescent="0.35">
      <c r="A116" s="1" t="s">
        <v>57</v>
      </c>
      <c r="B116">
        <v>0.16200000000000001</v>
      </c>
      <c r="C116">
        <v>0</v>
      </c>
      <c r="D116">
        <v>-2.8698264299999998</v>
      </c>
      <c r="E116">
        <v>0</v>
      </c>
      <c r="F116">
        <v>0</v>
      </c>
      <c r="G116">
        <v>59.190502000000002</v>
      </c>
      <c r="I116">
        <f t="shared" si="4"/>
        <v>0</v>
      </c>
      <c r="J116">
        <f t="shared" si="5"/>
        <v>-57.436263181619168</v>
      </c>
      <c r="K116">
        <f t="shared" si="6"/>
        <v>0</v>
      </c>
      <c r="L116">
        <f t="shared" si="7"/>
        <v>0</v>
      </c>
    </row>
    <row r="117" spans="1:12" x14ac:dyDescent="0.35">
      <c r="A117" s="1" t="s">
        <v>58</v>
      </c>
      <c r="B117">
        <v>0.41783028900000002</v>
      </c>
      <c r="C117">
        <v>9.4690999999999994E-3</v>
      </c>
      <c r="D117">
        <v>0</v>
      </c>
      <c r="E117">
        <v>0</v>
      </c>
      <c r="F117">
        <v>0</v>
      </c>
      <c r="G117">
        <v>59.655332000000001</v>
      </c>
      <c r="I117">
        <f t="shared" si="4"/>
        <v>0.45356478630764774</v>
      </c>
      <c r="J117">
        <f t="shared" si="5"/>
        <v>0</v>
      </c>
      <c r="K117">
        <f t="shared" si="6"/>
        <v>0</v>
      </c>
      <c r="L117">
        <f t="shared" si="7"/>
        <v>0</v>
      </c>
    </row>
    <row r="118" spans="1:12" x14ac:dyDescent="0.35">
      <c r="A118" s="1" t="s">
        <v>59</v>
      </c>
      <c r="B118">
        <v>0.41782864199999997</v>
      </c>
      <c r="C118">
        <v>5.4992000000000001E-3</v>
      </c>
      <c r="D118">
        <v>0</v>
      </c>
      <c r="E118">
        <v>0</v>
      </c>
      <c r="F118">
        <v>0</v>
      </c>
      <c r="G118">
        <v>60.073160999999999</v>
      </c>
      <c r="I118">
        <f t="shared" si="4"/>
        <v>0.26340975432619773</v>
      </c>
      <c r="J118">
        <f t="shared" si="5"/>
        <v>0</v>
      </c>
      <c r="K118">
        <f t="shared" si="6"/>
        <v>0</v>
      </c>
      <c r="L118">
        <f t="shared" si="7"/>
        <v>0</v>
      </c>
    </row>
    <row r="119" spans="1:12" x14ac:dyDescent="0.35">
      <c r="A119" s="1" t="s">
        <v>60</v>
      </c>
      <c r="B119">
        <v>0.41782827500000003</v>
      </c>
      <c r="C119">
        <v>4.1392E-3</v>
      </c>
      <c r="D119">
        <v>0</v>
      </c>
      <c r="E119">
        <v>0</v>
      </c>
      <c r="F119">
        <v>0</v>
      </c>
      <c r="G119">
        <v>60.490988999999999</v>
      </c>
      <c r="I119">
        <f t="shared" si="4"/>
        <v>0.19826640470947862</v>
      </c>
      <c r="J119">
        <f t="shared" si="5"/>
        <v>0</v>
      </c>
      <c r="K119">
        <f t="shared" si="6"/>
        <v>0</v>
      </c>
      <c r="L119">
        <f t="shared" si="7"/>
        <v>0</v>
      </c>
    </row>
    <row r="120" spans="1:12" x14ac:dyDescent="0.35">
      <c r="A120" s="1" t="s">
        <v>61</v>
      </c>
      <c r="B120">
        <v>0.41782808399999999</v>
      </c>
      <c r="C120">
        <v>3.2192000000000002E-3</v>
      </c>
      <c r="D120">
        <v>0</v>
      </c>
      <c r="E120">
        <v>0</v>
      </c>
      <c r="F120">
        <v>0</v>
      </c>
      <c r="G120">
        <v>60.908816999999999</v>
      </c>
      <c r="I120">
        <f t="shared" si="4"/>
        <v>0.15419875865034546</v>
      </c>
      <c r="J120">
        <f t="shared" si="5"/>
        <v>0</v>
      </c>
      <c r="K120">
        <f t="shared" si="6"/>
        <v>0</v>
      </c>
      <c r="L120">
        <f t="shared" si="7"/>
        <v>0</v>
      </c>
    </row>
    <row r="121" spans="1:12" x14ac:dyDescent="0.35">
      <c r="A121" s="1" t="s">
        <v>62</v>
      </c>
      <c r="B121">
        <v>0.41782794400000001</v>
      </c>
      <c r="C121">
        <v>2.3392E-3</v>
      </c>
      <c r="D121">
        <v>0</v>
      </c>
      <c r="E121">
        <v>0</v>
      </c>
      <c r="F121">
        <v>0</v>
      </c>
      <c r="G121">
        <v>61.326644999999999</v>
      </c>
      <c r="I121">
        <f t="shared" si="4"/>
        <v>0.11204704805350077</v>
      </c>
      <c r="J121">
        <f t="shared" si="5"/>
        <v>0</v>
      </c>
      <c r="K121">
        <f t="shared" si="6"/>
        <v>0</v>
      </c>
      <c r="L121">
        <f t="shared" si="7"/>
        <v>0</v>
      </c>
    </row>
    <row r="122" spans="1:12" x14ac:dyDescent="0.35">
      <c r="A122" s="1" t="s">
        <v>63</v>
      </c>
      <c r="B122">
        <v>0.21199999999999999</v>
      </c>
      <c r="C122">
        <v>0</v>
      </c>
      <c r="D122">
        <v>-2.3709669899999999</v>
      </c>
      <c r="E122">
        <v>0</v>
      </c>
      <c r="F122">
        <v>0</v>
      </c>
      <c r="G122">
        <v>61.585645</v>
      </c>
      <c r="I122">
        <f t="shared" si="4"/>
        <v>0</v>
      </c>
      <c r="J122">
        <f t="shared" si="5"/>
        <v>-47.452167353748784</v>
      </c>
      <c r="K122">
        <f t="shared" si="6"/>
        <v>0</v>
      </c>
      <c r="L122">
        <f t="shared" si="7"/>
        <v>0</v>
      </c>
    </row>
    <row r="123" spans="1:12" x14ac:dyDescent="0.35">
      <c r="A123" s="1" t="s">
        <v>64</v>
      </c>
      <c r="B123">
        <v>0.16600000000000001</v>
      </c>
      <c r="C123">
        <v>0</v>
      </c>
      <c r="D123">
        <v>0</v>
      </c>
      <c r="E123">
        <v>-132.861086</v>
      </c>
      <c r="F123">
        <v>0</v>
      </c>
      <c r="G123">
        <v>61.826644999999999</v>
      </c>
      <c r="I123">
        <f t="shared" si="4"/>
        <v>0</v>
      </c>
      <c r="J123">
        <f t="shared" si="5"/>
        <v>0</v>
      </c>
      <c r="K123">
        <f t="shared" si="6"/>
        <v>-2659.0612666744933</v>
      </c>
      <c r="L123">
        <f t="shared" si="7"/>
        <v>0</v>
      </c>
    </row>
    <row r="124" spans="1:12" x14ac:dyDescent="0.35">
      <c r="A124" s="1" t="s">
        <v>65</v>
      </c>
      <c r="B124">
        <v>0.21199999999999999</v>
      </c>
      <c r="C124">
        <v>0</v>
      </c>
      <c r="D124">
        <v>2.47240752</v>
      </c>
      <c r="E124">
        <v>0</v>
      </c>
      <c r="F124">
        <v>0</v>
      </c>
      <c r="G124">
        <v>62.639499000000001</v>
      </c>
      <c r="I124">
        <f t="shared" si="4"/>
        <v>0</v>
      </c>
      <c r="J124">
        <f t="shared" si="5"/>
        <v>49.48238246273813</v>
      </c>
      <c r="K124">
        <f t="shared" si="6"/>
        <v>0</v>
      </c>
      <c r="L124">
        <f t="shared" si="7"/>
        <v>0</v>
      </c>
    </row>
    <row r="125" spans="1:12" x14ac:dyDescent="0.35">
      <c r="A125" s="1" t="s">
        <v>66</v>
      </c>
      <c r="B125">
        <v>0.1</v>
      </c>
      <c r="C125">
        <v>0</v>
      </c>
      <c r="D125">
        <v>0</v>
      </c>
      <c r="E125">
        <v>172.62799999999999</v>
      </c>
      <c r="F125">
        <v>0</v>
      </c>
      <c r="G125">
        <v>62.814498999999998</v>
      </c>
      <c r="I125">
        <f t="shared" si="4"/>
        <v>0</v>
      </c>
      <c r="J125">
        <f t="shared" si="5"/>
        <v>0</v>
      </c>
      <c r="K125">
        <f t="shared" si="6"/>
        <v>3454.9501450220296</v>
      </c>
      <c r="L125">
        <f t="shared" si="7"/>
        <v>0</v>
      </c>
    </row>
    <row r="126" spans="1:12" x14ac:dyDescent="0.35">
      <c r="A126" s="1" t="s">
        <v>66</v>
      </c>
      <c r="B126">
        <v>0.1</v>
      </c>
      <c r="C126">
        <v>0</v>
      </c>
      <c r="D126">
        <v>0</v>
      </c>
      <c r="E126">
        <v>172.62799999999999</v>
      </c>
      <c r="F126">
        <v>0</v>
      </c>
      <c r="G126">
        <f>62.814499+0.1</f>
        <v>62.914498999999999</v>
      </c>
      <c r="I126">
        <f t="shared" si="4"/>
        <v>0</v>
      </c>
      <c r="J126">
        <f t="shared" si="5"/>
        <v>0</v>
      </c>
      <c r="K126">
        <f t="shared" si="6"/>
        <v>3454.9501450220296</v>
      </c>
      <c r="L126">
        <f t="shared" si="7"/>
        <v>0</v>
      </c>
    </row>
    <row r="127" spans="1:12" x14ac:dyDescent="0.35">
      <c r="A127" s="1" t="s">
        <v>67</v>
      </c>
      <c r="B127">
        <v>0.21199999999999999</v>
      </c>
      <c r="C127">
        <v>0</v>
      </c>
      <c r="D127">
        <v>2.47240752</v>
      </c>
      <c r="E127">
        <v>0</v>
      </c>
      <c r="F127">
        <v>0</v>
      </c>
      <c r="G127">
        <v>63.201498999999998</v>
      </c>
      <c r="I127">
        <f t="shared" si="4"/>
        <v>0</v>
      </c>
      <c r="J127">
        <f t="shared" si="5"/>
        <v>49.48238246273813</v>
      </c>
      <c r="K127">
        <f t="shared" si="6"/>
        <v>0</v>
      </c>
      <c r="L127">
        <f t="shared" si="7"/>
        <v>0</v>
      </c>
    </row>
    <row r="128" spans="1:12" x14ac:dyDescent="0.35">
      <c r="A128" s="1" t="s">
        <v>68</v>
      </c>
      <c r="B128">
        <v>0.09</v>
      </c>
      <c r="C128">
        <v>0</v>
      </c>
      <c r="D128">
        <v>0</v>
      </c>
      <c r="E128">
        <v>0</v>
      </c>
      <c r="F128">
        <v>-13632</v>
      </c>
      <c r="G128">
        <v>63.351498999999997</v>
      </c>
      <c r="I128">
        <f t="shared" si="4"/>
        <v>0</v>
      </c>
      <c r="J128">
        <f t="shared" si="5"/>
        <v>0</v>
      </c>
      <c r="K128">
        <f t="shared" si="6"/>
        <v>0</v>
      </c>
      <c r="L128">
        <f t="shared" si="7"/>
        <v>-272828.74375501258</v>
      </c>
    </row>
    <row r="129" spans="1:12" x14ac:dyDescent="0.35">
      <c r="A129" s="1" t="s">
        <v>69</v>
      </c>
      <c r="B129">
        <v>0.16600000000000001</v>
      </c>
      <c r="C129">
        <v>0</v>
      </c>
      <c r="D129">
        <v>0</v>
      </c>
      <c r="E129">
        <v>-202.23429300000001</v>
      </c>
      <c r="F129">
        <v>0</v>
      </c>
      <c r="G129">
        <v>63.968352000000003</v>
      </c>
      <c r="I129">
        <f t="shared" si="4"/>
        <v>0</v>
      </c>
      <c r="J129">
        <f t="shared" si="5"/>
        <v>0</v>
      </c>
      <c r="K129">
        <f t="shared" si="6"/>
        <v>-4047.4859230760812</v>
      </c>
      <c r="L129">
        <f t="shared" si="7"/>
        <v>0</v>
      </c>
    </row>
    <row r="130" spans="1:12" x14ac:dyDescent="0.35">
      <c r="A130" s="1" t="s">
        <v>70</v>
      </c>
      <c r="B130">
        <v>0.21199999999999999</v>
      </c>
      <c r="C130">
        <v>0</v>
      </c>
      <c r="D130">
        <v>-2.53358734</v>
      </c>
      <c r="E130">
        <v>0</v>
      </c>
      <c r="F130">
        <v>0</v>
      </c>
      <c r="G130">
        <v>64.255352000000002</v>
      </c>
      <c r="I130">
        <f t="shared" si="4"/>
        <v>0</v>
      </c>
      <c r="J130">
        <f t="shared" si="5"/>
        <v>-50.706825936458621</v>
      </c>
      <c r="K130">
        <f t="shared" si="6"/>
        <v>0</v>
      </c>
      <c r="L130">
        <f t="shared" si="7"/>
        <v>0</v>
      </c>
    </row>
    <row r="131" spans="1:12" x14ac:dyDescent="0.35">
      <c r="A131" s="1" t="s">
        <v>20</v>
      </c>
      <c r="B131">
        <v>0.41782794400000001</v>
      </c>
      <c r="C131">
        <v>2.3392E-3</v>
      </c>
      <c r="D131">
        <v>0</v>
      </c>
      <c r="E131">
        <v>0</v>
      </c>
      <c r="F131">
        <v>0</v>
      </c>
      <c r="G131">
        <v>64.720179999999999</v>
      </c>
      <c r="I131">
        <f t="shared" si="4"/>
        <v>0.11204704805350077</v>
      </c>
      <c r="J131">
        <f t="shared" si="5"/>
        <v>0</v>
      </c>
      <c r="K131">
        <f t="shared" si="6"/>
        <v>0</v>
      </c>
      <c r="L131">
        <f t="shared" si="7"/>
        <v>0</v>
      </c>
    </row>
    <row r="132" spans="1:12" x14ac:dyDescent="0.35">
      <c r="A132" s="1" t="s">
        <v>21</v>
      </c>
      <c r="B132">
        <v>0.41782808399999999</v>
      </c>
      <c r="C132">
        <v>3.2192000000000002E-3</v>
      </c>
      <c r="D132">
        <v>0</v>
      </c>
      <c r="E132">
        <v>0</v>
      </c>
      <c r="F132">
        <v>0</v>
      </c>
      <c r="G132">
        <v>65.138007999999999</v>
      </c>
      <c r="I132">
        <f t="shared" ref="I132:I195" si="8">$H$2*$C132/$B132</f>
        <v>0.15419875865034546</v>
      </c>
      <c r="J132">
        <f t="shared" ref="J132:J195" si="9">$H$2*$D132</f>
        <v>0</v>
      </c>
      <c r="K132">
        <f t="shared" ref="K132:K195" si="10">$H$2*$E132</f>
        <v>0</v>
      </c>
      <c r="L132">
        <f t="shared" ref="L132:L195" si="11">$H$2*$F132</f>
        <v>0</v>
      </c>
    </row>
    <row r="133" spans="1:12" x14ac:dyDescent="0.35">
      <c r="A133" s="1" t="s">
        <v>22</v>
      </c>
      <c r="B133">
        <v>0.41782827500000003</v>
      </c>
      <c r="C133">
        <v>4.1392E-3</v>
      </c>
      <c r="D133">
        <v>0</v>
      </c>
      <c r="E133">
        <v>0</v>
      </c>
      <c r="F133">
        <v>0</v>
      </c>
      <c r="G133">
        <v>65.555836999999997</v>
      </c>
      <c r="I133">
        <f t="shared" si="8"/>
        <v>0.19826640470947862</v>
      </c>
      <c r="J133">
        <f t="shared" si="9"/>
        <v>0</v>
      </c>
      <c r="K133">
        <f t="shared" si="10"/>
        <v>0</v>
      </c>
      <c r="L133">
        <f t="shared" si="11"/>
        <v>0</v>
      </c>
    </row>
    <row r="134" spans="1:12" x14ac:dyDescent="0.35">
      <c r="A134" s="1" t="s">
        <v>23</v>
      </c>
      <c r="B134">
        <v>0.41782864199999997</v>
      </c>
      <c r="C134">
        <v>5.4992000000000001E-3</v>
      </c>
      <c r="D134">
        <v>0</v>
      </c>
      <c r="E134">
        <v>0</v>
      </c>
      <c r="F134">
        <v>0</v>
      </c>
      <c r="G134">
        <v>65.973664999999997</v>
      </c>
      <c r="I134">
        <f t="shared" si="8"/>
        <v>0.26340975432619773</v>
      </c>
      <c r="J134">
        <f t="shared" si="9"/>
        <v>0</v>
      </c>
      <c r="K134">
        <f t="shared" si="10"/>
        <v>0</v>
      </c>
      <c r="L134">
        <f t="shared" si="11"/>
        <v>0</v>
      </c>
    </row>
    <row r="135" spans="1:12" x14ac:dyDescent="0.35">
      <c r="A135" s="1" t="s">
        <v>24</v>
      </c>
      <c r="B135">
        <v>0.41782941899999998</v>
      </c>
      <c r="C135">
        <v>7.6290999999999998E-3</v>
      </c>
      <c r="D135">
        <v>0</v>
      </c>
      <c r="E135">
        <v>0</v>
      </c>
      <c r="F135">
        <v>0</v>
      </c>
      <c r="G135">
        <v>66.391495000000006</v>
      </c>
      <c r="I135">
        <f t="shared" si="8"/>
        <v>0.36543053893202671</v>
      </c>
      <c r="J135">
        <f t="shared" si="9"/>
        <v>0</v>
      </c>
      <c r="K135">
        <f t="shared" si="10"/>
        <v>0</v>
      </c>
      <c r="L135">
        <f t="shared" si="11"/>
        <v>0</v>
      </c>
    </row>
    <row r="136" spans="1:12" x14ac:dyDescent="0.35">
      <c r="A136" s="1" t="s">
        <v>71</v>
      </c>
      <c r="B136">
        <v>0.3745</v>
      </c>
      <c r="C136">
        <v>0</v>
      </c>
      <c r="D136">
        <v>4.5116622</v>
      </c>
      <c r="E136">
        <v>0</v>
      </c>
      <c r="F136">
        <v>0</v>
      </c>
      <c r="G136">
        <v>66.915994999999995</v>
      </c>
      <c r="I136">
        <f t="shared" si="8"/>
        <v>0</v>
      </c>
      <c r="J136">
        <f t="shared" si="9"/>
        <v>90.29571084748946</v>
      </c>
      <c r="K136">
        <f t="shared" si="10"/>
        <v>0</v>
      </c>
      <c r="L136">
        <f t="shared" si="11"/>
        <v>0</v>
      </c>
    </row>
    <row r="137" spans="1:12" x14ac:dyDescent="0.35">
      <c r="A137" s="1" t="s">
        <v>72</v>
      </c>
      <c r="B137">
        <v>1.0280365199999999</v>
      </c>
      <c r="C137">
        <v>2.4767999999999998E-2</v>
      </c>
      <c r="D137">
        <v>-1.929</v>
      </c>
      <c r="E137">
        <v>0</v>
      </c>
      <c r="F137">
        <v>0</v>
      </c>
      <c r="G137">
        <v>68.034030999999999</v>
      </c>
      <c r="I137">
        <f t="shared" si="8"/>
        <v>0.48218416286837618</v>
      </c>
      <c r="J137">
        <f t="shared" si="9"/>
        <v>-38.606708238220314</v>
      </c>
      <c r="K137">
        <f t="shared" si="10"/>
        <v>0</v>
      </c>
      <c r="L137">
        <f t="shared" si="11"/>
        <v>0</v>
      </c>
    </row>
    <row r="138" spans="1:12" x14ac:dyDescent="0.35">
      <c r="A138" s="1" t="s">
        <v>73</v>
      </c>
      <c r="B138">
        <v>0.4975</v>
      </c>
      <c r="C138">
        <v>0</v>
      </c>
      <c r="D138">
        <v>4.61414189</v>
      </c>
      <c r="E138">
        <v>0</v>
      </c>
      <c r="F138">
        <v>0</v>
      </c>
      <c r="G138">
        <v>68.621531000000004</v>
      </c>
      <c r="I138">
        <f t="shared" si="8"/>
        <v>0</v>
      </c>
      <c r="J138">
        <f t="shared" si="9"/>
        <v>92.346723544313335</v>
      </c>
      <c r="K138">
        <f t="shared" si="10"/>
        <v>0</v>
      </c>
      <c r="L138">
        <f t="shared" si="11"/>
        <v>0</v>
      </c>
    </row>
    <row r="139" spans="1:12" x14ac:dyDescent="0.35">
      <c r="A139" s="1" t="s">
        <v>28</v>
      </c>
      <c r="B139">
        <v>0.1</v>
      </c>
      <c r="C139">
        <v>0</v>
      </c>
      <c r="D139">
        <v>0</v>
      </c>
      <c r="E139">
        <v>0</v>
      </c>
      <c r="F139">
        <v>0</v>
      </c>
      <c r="G139">
        <v>68.792602000000002</v>
      </c>
      <c r="I139">
        <f t="shared" si="8"/>
        <v>0</v>
      </c>
      <c r="J139">
        <f t="shared" si="9"/>
        <v>0</v>
      </c>
      <c r="K139">
        <f t="shared" si="10"/>
        <v>0</v>
      </c>
      <c r="L139">
        <f t="shared" si="11"/>
        <v>0</v>
      </c>
    </row>
    <row r="140" spans="1:12" x14ac:dyDescent="0.35">
      <c r="A140" s="1" t="s">
        <v>74</v>
      </c>
      <c r="B140">
        <v>0.40000102700000001</v>
      </c>
      <c r="C140">
        <v>5.2300999999999997E-3</v>
      </c>
      <c r="D140">
        <v>-1.5815999999999999</v>
      </c>
      <c r="E140">
        <v>0</v>
      </c>
      <c r="F140">
        <v>0</v>
      </c>
      <c r="G140">
        <v>69.285602999999995</v>
      </c>
      <c r="I140">
        <f t="shared" si="8"/>
        <v>0.26168536331815889</v>
      </c>
      <c r="J140">
        <f t="shared" si="9"/>
        <v>-31.653898263125576</v>
      </c>
      <c r="K140">
        <f t="shared" si="10"/>
        <v>0</v>
      </c>
      <c r="L140">
        <f t="shared" si="11"/>
        <v>0</v>
      </c>
    </row>
    <row r="141" spans="1:12" x14ac:dyDescent="0.35">
      <c r="A141" s="1" t="s">
        <v>30</v>
      </c>
      <c r="B141">
        <v>2.44294E-2</v>
      </c>
      <c r="C141">
        <v>1.0499000000000001E-3</v>
      </c>
      <c r="D141">
        <v>0</v>
      </c>
      <c r="E141">
        <v>0</v>
      </c>
      <c r="F141">
        <v>0</v>
      </c>
      <c r="G141">
        <v>69.380532000000002</v>
      </c>
      <c r="I141">
        <f t="shared" si="8"/>
        <v>0.8601331402616047</v>
      </c>
      <c r="J141">
        <f t="shared" si="9"/>
        <v>0</v>
      </c>
      <c r="K141">
        <f t="shared" si="10"/>
        <v>0</v>
      </c>
      <c r="L141">
        <f t="shared" si="11"/>
        <v>0</v>
      </c>
    </row>
    <row r="142" spans="1:12" x14ac:dyDescent="0.35">
      <c r="A142" s="1" t="s">
        <v>30</v>
      </c>
      <c r="B142">
        <v>2.44294E-2</v>
      </c>
      <c r="C142">
        <v>1.0499000000000001E-3</v>
      </c>
      <c r="D142">
        <v>0</v>
      </c>
      <c r="E142">
        <v>0</v>
      </c>
      <c r="F142">
        <v>0</v>
      </c>
      <c r="G142">
        <f>69.380532+0.0244294</f>
        <v>69.404961400000005</v>
      </c>
      <c r="I142">
        <f t="shared" si="8"/>
        <v>0.8601331402616047</v>
      </c>
      <c r="J142">
        <f t="shared" si="9"/>
        <v>0</v>
      </c>
      <c r="K142">
        <f t="shared" si="10"/>
        <v>0</v>
      </c>
      <c r="L142">
        <f t="shared" si="11"/>
        <v>0</v>
      </c>
    </row>
    <row r="143" spans="1:12" x14ac:dyDescent="0.35">
      <c r="A143" s="1" t="s">
        <v>75</v>
      </c>
      <c r="B143">
        <v>0.40000102700000001</v>
      </c>
      <c r="C143">
        <v>5.2300999999999997E-3</v>
      </c>
      <c r="D143">
        <v>-1.5815999999999999</v>
      </c>
      <c r="E143">
        <v>0</v>
      </c>
      <c r="F143">
        <v>0</v>
      </c>
      <c r="G143">
        <v>69.875462999999996</v>
      </c>
      <c r="I143">
        <f t="shared" si="8"/>
        <v>0.26168536331815889</v>
      </c>
      <c r="J143">
        <f t="shared" si="9"/>
        <v>-31.653898263125576</v>
      </c>
      <c r="K143">
        <f t="shared" si="10"/>
        <v>0</v>
      </c>
      <c r="L143">
        <f t="shared" si="11"/>
        <v>0</v>
      </c>
    </row>
    <row r="144" spans="1:12" x14ac:dyDescent="0.35">
      <c r="A144" s="1" t="s">
        <v>76</v>
      </c>
      <c r="B144">
        <v>0.4975</v>
      </c>
      <c r="C144">
        <v>0</v>
      </c>
      <c r="D144">
        <v>4.61414189</v>
      </c>
      <c r="E144">
        <v>0</v>
      </c>
      <c r="F144">
        <v>0</v>
      </c>
      <c r="G144">
        <v>70.637033000000002</v>
      </c>
      <c r="I144">
        <f t="shared" si="8"/>
        <v>0</v>
      </c>
      <c r="J144">
        <f t="shared" si="9"/>
        <v>92.346723544313335</v>
      </c>
      <c r="K144">
        <f t="shared" si="10"/>
        <v>0</v>
      </c>
      <c r="L144">
        <f t="shared" si="11"/>
        <v>0</v>
      </c>
    </row>
    <row r="145" spans="1:12" x14ac:dyDescent="0.35">
      <c r="A145" s="1" t="s">
        <v>77</v>
      </c>
      <c r="B145">
        <v>1.0280365199999999</v>
      </c>
      <c r="C145">
        <v>2.4767999999999998E-2</v>
      </c>
      <c r="D145">
        <v>-1.929</v>
      </c>
      <c r="E145">
        <v>0</v>
      </c>
      <c r="F145">
        <v>0</v>
      </c>
      <c r="G145">
        <v>71.755070000000003</v>
      </c>
      <c r="I145">
        <f t="shared" si="8"/>
        <v>0.48218416286837618</v>
      </c>
      <c r="J145">
        <f t="shared" si="9"/>
        <v>-38.606708238220314</v>
      </c>
      <c r="K145">
        <f t="shared" si="10"/>
        <v>0</v>
      </c>
      <c r="L145">
        <f t="shared" si="11"/>
        <v>0</v>
      </c>
    </row>
    <row r="146" spans="1:12" x14ac:dyDescent="0.35">
      <c r="A146" s="1" t="s">
        <v>78</v>
      </c>
      <c r="B146">
        <v>0.3745</v>
      </c>
      <c r="C146">
        <v>0</v>
      </c>
      <c r="D146">
        <v>4.5116622</v>
      </c>
      <c r="E146">
        <v>0</v>
      </c>
      <c r="F146">
        <v>0</v>
      </c>
      <c r="G146">
        <v>72.219570000000004</v>
      </c>
      <c r="I146">
        <f t="shared" si="8"/>
        <v>0</v>
      </c>
      <c r="J146">
        <f t="shared" si="9"/>
        <v>90.29571084748946</v>
      </c>
      <c r="K146">
        <f t="shared" si="10"/>
        <v>0</v>
      </c>
      <c r="L146">
        <f t="shared" si="11"/>
        <v>0</v>
      </c>
    </row>
    <row r="147" spans="1:12" x14ac:dyDescent="0.35">
      <c r="A147" s="1" t="s">
        <v>35</v>
      </c>
      <c r="B147">
        <v>0.41782941899999998</v>
      </c>
      <c r="C147">
        <v>7.6290999999999998E-3</v>
      </c>
      <c r="D147">
        <v>0</v>
      </c>
      <c r="E147">
        <v>0</v>
      </c>
      <c r="F147">
        <v>0</v>
      </c>
      <c r="G147">
        <v>72.787398999999994</v>
      </c>
      <c r="I147">
        <f t="shared" si="8"/>
        <v>0.36543053893202671</v>
      </c>
      <c r="J147">
        <f t="shared" si="9"/>
        <v>0</v>
      </c>
      <c r="K147">
        <f t="shared" si="10"/>
        <v>0</v>
      </c>
      <c r="L147">
        <f t="shared" si="11"/>
        <v>0</v>
      </c>
    </row>
    <row r="148" spans="1:12" x14ac:dyDescent="0.35">
      <c r="A148" s="1" t="s">
        <v>36</v>
      </c>
      <c r="B148">
        <v>0.41782864199999997</v>
      </c>
      <c r="C148">
        <v>5.4992000000000001E-3</v>
      </c>
      <c r="D148">
        <v>0</v>
      </c>
      <c r="E148">
        <v>0</v>
      </c>
      <c r="F148">
        <v>0</v>
      </c>
      <c r="G148">
        <v>73.205228000000005</v>
      </c>
      <c r="I148">
        <f t="shared" si="8"/>
        <v>0.26340975432619773</v>
      </c>
      <c r="J148">
        <f t="shared" si="9"/>
        <v>0</v>
      </c>
      <c r="K148">
        <f t="shared" si="10"/>
        <v>0</v>
      </c>
      <c r="L148">
        <f t="shared" si="11"/>
        <v>0</v>
      </c>
    </row>
    <row r="149" spans="1:12" x14ac:dyDescent="0.35">
      <c r="A149" s="1" t="s">
        <v>37</v>
      </c>
      <c r="B149">
        <v>0.41782827500000003</v>
      </c>
      <c r="C149">
        <v>4.1392E-3</v>
      </c>
      <c r="D149">
        <v>0</v>
      </c>
      <c r="E149">
        <v>0</v>
      </c>
      <c r="F149">
        <v>0</v>
      </c>
      <c r="G149">
        <v>73.623056000000005</v>
      </c>
      <c r="I149">
        <f t="shared" si="8"/>
        <v>0.19826640470947862</v>
      </c>
      <c r="J149">
        <f t="shared" si="9"/>
        <v>0</v>
      </c>
      <c r="K149">
        <f t="shared" si="10"/>
        <v>0</v>
      </c>
      <c r="L149">
        <f t="shared" si="11"/>
        <v>0</v>
      </c>
    </row>
    <row r="150" spans="1:12" x14ac:dyDescent="0.35">
      <c r="A150" s="1" t="s">
        <v>38</v>
      </c>
      <c r="B150">
        <v>0.41782808399999999</v>
      </c>
      <c r="C150">
        <v>3.2192000000000002E-3</v>
      </c>
      <c r="D150">
        <v>0</v>
      </c>
      <c r="E150">
        <v>0</v>
      </c>
      <c r="F150">
        <v>0</v>
      </c>
      <c r="G150">
        <v>74.040884000000005</v>
      </c>
      <c r="I150">
        <f t="shared" si="8"/>
        <v>0.15419875865034546</v>
      </c>
      <c r="J150">
        <f t="shared" si="9"/>
        <v>0</v>
      </c>
      <c r="K150">
        <f t="shared" si="10"/>
        <v>0</v>
      </c>
      <c r="L150">
        <f t="shared" si="11"/>
        <v>0</v>
      </c>
    </row>
    <row r="151" spans="1:12" x14ac:dyDescent="0.35">
      <c r="A151" s="1" t="s">
        <v>39</v>
      </c>
      <c r="B151">
        <v>0.41782794400000001</v>
      </c>
      <c r="C151">
        <v>2.3392E-3</v>
      </c>
      <c r="D151">
        <v>0</v>
      </c>
      <c r="E151">
        <v>0</v>
      </c>
      <c r="F151">
        <v>0</v>
      </c>
      <c r="G151">
        <v>74.458712000000006</v>
      </c>
      <c r="I151">
        <f t="shared" si="8"/>
        <v>0.11204704805350077</v>
      </c>
      <c r="J151">
        <f t="shared" si="9"/>
        <v>0</v>
      </c>
      <c r="K151">
        <f t="shared" si="10"/>
        <v>0</v>
      </c>
      <c r="L151">
        <f t="shared" si="11"/>
        <v>0</v>
      </c>
    </row>
    <row r="152" spans="1:12" x14ac:dyDescent="0.35">
      <c r="A152" s="1" t="s">
        <v>79</v>
      </c>
      <c r="B152">
        <v>0.21199999999999999</v>
      </c>
      <c r="C152">
        <v>0</v>
      </c>
      <c r="D152">
        <v>-2.53358734</v>
      </c>
      <c r="E152">
        <v>0</v>
      </c>
      <c r="F152">
        <v>0</v>
      </c>
      <c r="G152">
        <v>74.717712000000006</v>
      </c>
      <c r="I152">
        <f t="shared" si="8"/>
        <v>0</v>
      </c>
      <c r="J152">
        <f t="shared" si="9"/>
        <v>-50.706825936458621</v>
      </c>
      <c r="K152">
        <f t="shared" si="10"/>
        <v>0</v>
      </c>
      <c r="L152">
        <f t="shared" si="11"/>
        <v>0</v>
      </c>
    </row>
    <row r="153" spans="1:12" x14ac:dyDescent="0.35">
      <c r="A153" s="1" t="s">
        <v>80</v>
      </c>
      <c r="B153">
        <v>0.16600000000000001</v>
      </c>
      <c r="C153">
        <v>0</v>
      </c>
      <c r="D153">
        <v>0</v>
      </c>
      <c r="E153">
        <v>-202.23429300000001</v>
      </c>
      <c r="F153">
        <v>0</v>
      </c>
      <c r="G153">
        <v>74.958712000000006</v>
      </c>
      <c r="I153">
        <f t="shared" si="8"/>
        <v>0</v>
      </c>
      <c r="J153">
        <f t="shared" si="9"/>
        <v>0</v>
      </c>
      <c r="K153">
        <f t="shared" si="10"/>
        <v>-4047.4859230760812</v>
      </c>
      <c r="L153">
        <f t="shared" si="11"/>
        <v>0</v>
      </c>
    </row>
    <row r="154" spans="1:12" x14ac:dyDescent="0.35">
      <c r="A154" s="1" t="s">
        <v>81</v>
      </c>
      <c r="B154">
        <v>0.09</v>
      </c>
      <c r="C154">
        <v>0</v>
      </c>
      <c r="D154">
        <v>0</v>
      </c>
      <c r="E154">
        <v>0</v>
      </c>
      <c r="F154">
        <v>-13632</v>
      </c>
      <c r="G154">
        <v>75.499566000000002</v>
      </c>
      <c r="I154">
        <f t="shared" si="8"/>
        <v>0</v>
      </c>
      <c r="J154">
        <f t="shared" si="9"/>
        <v>0</v>
      </c>
      <c r="K154">
        <f t="shared" si="10"/>
        <v>0</v>
      </c>
      <c r="L154">
        <f t="shared" si="11"/>
        <v>-272828.74375501258</v>
      </c>
    </row>
    <row r="155" spans="1:12" x14ac:dyDescent="0.35">
      <c r="A155" s="1" t="s">
        <v>82</v>
      </c>
      <c r="B155">
        <v>0.21199999999999999</v>
      </c>
      <c r="C155">
        <v>0</v>
      </c>
      <c r="D155">
        <v>2.47240752</v>
      </c>
      <c r="E155">
        <v>0</v>
      </c>
      <c r="F155">
        <v>0</v>
      </c>
      <c r="G155">
        <v>75.771566000000007</v>
      </c>
      <c r="I155">
        <f t="shared" si="8"/>
        <v>0</v>
      </c>
      <c r="J155">
        <f t="shared" si="9"/>
        <v>49.48238246273813</v>
      </c>
      <c r="K155">
        <f t="shared" si="10"/>
        <v>0</v>
      </c>
      <c r="L155">
        <f t="shared" si="11"/>
        <v>0</v>
      </c>
    </row>
    <row r="156" spans="1:12" x14ac:dyDescent="0.35">
      <c r="A156" s="1" t="s">
        <v>83</v>
      </c>
      <c r="B156">
        <v>0.1</v>
      </c>
      <c r="C156">
        <v>0</v>
      </c>
      <c r="D156">
        <v>0</v>
      </c>
      <c r="E156">
        <v>172.62799999999999</v>
      </c>
      <c r="F156">
        <v>0</v>
      </c>
      <c r="G156">
        <v>75.946566000000004</v>
      </c>
      <c r="I156">
        <f t="shared" si="8"/>
        <v>0</v>
      </c>
      <c r="J156">
        <f t="shared" si="9"/>
        <v>0</v>
      </c>
      <c r="K156">
        <f t="shared" si="10"/>
        <v>3454.9501450220296</v>
      </c>
      <c r="L156">
        <f t="shared" si="11"/>
        <v>0</v>
      </c>
    </row>
    <row r="157" spans="1:12" x14ac:dyDescent="0.35">
      <c r="A157" s="1" t="s">
        <v>83</v>
      </c>
      <c r="B157">
        <v>0.1</v>
      </c>
      <c r="C157">
        <v>0</v>
      </c>
      <c r="D157">
        <v>0</v>
      </c>
      <c r="E157">
        <v>172.62799999999999</v>
      </c>
      <c r="F157">
        <v>0</v>
      </c>
      <c r="G157">
        <f>0.1+75.946566</f>
        <v>76.046565999999999</v>
      </c>
      <c r="I157">
        <f t="shared" si="8"/>
        <v>0</v>
      </c>
      <c r="J157">
        <f t="shared" si="9"/>
        <v>0</v>
      </c>
      <c r="K157">
        <f t="shared" si="10"/>
        <v>3454.9501450220296</v>
      </c>
      <c r="L157">
        <f t="shared" si="11"/>
        <v>0</v>
      </c>
    </row>
    <row r="158" spans="1:12" x14ac:dyDescent="0.35">
      <c r="A158" s="1" t="s">
        <v>84</v>
      </c>
      <c r="B158">
        <v>0.21199999999999999</v>
      </c>
      <c r="C158">
        <v>0</v>
      </c>
      <c r="D158">
        <v>2.47240752</v>
      </c>
      <c r="E158">
        <v>0</v>
      </c>
      <c r="F158">
        <v>0</v>
      </c>
      <c r="G158">
        <v>76.333566000000005</v>
      </c>
      <c r="I158">
        <f t="shared" si="8"/>
        <v>0</v>
      </c>
      <c r="J158">
        <f t="shared" si="9"/>
        <v>49.48238246273813</v>
      </c>
      <c r="K158">
        <f t="shared" si="10"/>
        <v>0</v>
      </c>
      <c r="L158">
        <f t="shared" si="11"/>
        <v>0</v>
      </c>
    </row>
    <row r="159" spans="1:12" x14ac:dyDescent="0.35">
      <c r="A159" s="1" t="s">
        <v>85</v>
      </c>
      <c r="B159">
        <v>0.16600000000000001</v>
      </c>
      <c r="C159">
        <v>0</v>
      </c>
      <c r="D159">
        <v>0</v>
      </c>
      <c r="E159">
        <v>-132.861086</v>
      </c>
      <c r="F159">
        <v>0</v>
      </c>
      <c r="G159">
        <v>77.100419000000002</v>
      </c>
      <c r="I159">
        <f t="shared" si="8"/>
        <v>0</v>
      </c>
      <c r="J159">
        <f t="shared" si="9"/>
        <v>0</v>
      </c>
      <c r="K159">
        <f t="shared" si="10"/>
        <v>-2659.0612666744933</v>
      </c>
      <c r="L159">
        <f t="shared" si="11"/>
        <v>0</v>
      </c>
    </row>
    <row r="160" spans="1:12" x14ac:dyDescent="0.35">
      <c r="A160" s="1" t="s">
        <v>86</v>
      </c>
      <c r="B160">
        <v>0.21199999999999999</v>
      </c>
      <c r="C160">
        <v>0</v>
      </c>
      <c r="D160">
        <v>-2.3709669899999999</v>
      </c>
      <c r="E160">
        <v>0</v>
      </c>
      <c r="F160">
        <v>0</v>
      </c>
      <c r="G160">
        <v>77.387418999999994</v>
      </c>
      <c r="I160">
        <f t="shared" si="8"/>
        <v>0</v>
      </c>
      <c r="J160">
        <f t="shared" si="9"/>
        <v>-47.452167353748784</v>
      </c>
      <c r="K160">
        <f t="shared" si="10"/>
        <v>0</v>
      </c>
      <c r="L160">
        <f t="shared" si="11"/>
        <v>0</v>
      </c>
    </row>
    <row r="161" spans="1:12" x14ac:dyDescent="0.35">
      <c r="A161" s="1" t="s">
        <v>48</v>
      </c>
      <c r="B161">
        <v>0.41782794400000001</v>
      </c>
      <c r="C161">
        <v>2.3392E-3</v>
      </c>
      <c r="D161">
        <v>0</v>
      </c>
      <c r="E161">
        <v>0</v>
      </c>
      <c r="F161">
        <v>0</v>
      </c>
      <c r="G161">
        <v>77.852247000000006</v>
      </c>
      <c r="I161">
        <f t="shared" si="8"/>
        <v>0.11204704805350077</v>
      </c>
      <c r="J161">
        <f t="shared" si="9"/>
        <v>0</v>
      </c>
      <c r="K161">
        <f t="shared" si="10"/>
        <v>0</v>
      </c>
      <c r="L161">
        <f t="shared" si="11"/>
        <v>0</v>
      </c>
    </row>
    <row r="162" spans="1:12" x14ac:dyDescent="0.35">
      <c r="A162" s="1" t="s">
        <v>49</v>
      </c>
      <c r="B162">
        <v>0.41782808399999999</v>
      </c>
      <c r="C162">
        <v>3.2192000000000002E-3</v>
      </c>
      <c r="D162">
        <v>0</v>
      </c>
      <c r="E162">
        <v>0</v>
      </c>
      <c r="F162">
        <v>0</v>
      </c>
      <c r="G162">
        <v>78.270075000000006</v>
      </c>
      <c r="I162">
        <f t="shared" si="8"/>
        <v>0.15419875865034546</v>
      </c>
      <c r="J162">
        <f t="shared" si="9"/>
        <v>0</v>
      </c>
      <c r="K162">
        <f t="shared" si="10"/>
        <v>0</v>
      </c>
      <c r="L162">
        <f t="shared" si="11"/>
        <v>0</v>
      </c>
    </row>
    <row r="163" spans="1:12" x14ac:dyDescent="0.35">
      <c r="A163" s="1" t="s">
        <v>50</v>
      </c>
      <c r="B163">
        <v>0.41782827500000003</v>
      </c>
      <c r="C163">
        <v>4.1392E-3</v>
      </c>
      <c r="D163">
        <v>0</v>
      </c>
      <c r="E163">
        <v>0</v>
      </c>
      <c r="F163">
        <v>0</v>
      </c>
      <c r="G163">
        <v>78.687903000000006</v>
      </c>
      <c r="I163">
        <f t="shared" si="8"/>
        <v>0.19826640470947862</v>
      </c>
      <c r="J163">
        <f t="shared" si="9"/>
        <v>0</v>
      </c>
      <c r="K163">
        <f t="shared" si="10"/>
        <v>0</v>
      </c>
      <c r="L163">
        <f t="shared" si="11"/>
        <v>0</v>
      </c>
    </row>
    <row r="164" spans="1:12" x14ac:dyDescent="0.35">
      <c r="A164" s="1" t="s">
        <v>51</v>
      </c>
      <c r="B164">
        <v>0.41782864199999997</v>
      </c>
      <c r="C164">
        <v>5.4992000000000001E-3</v>
      </c>
      <c r="D164">
        <v>0</v>
      </c>
      <c r="E164">
        <v>0</v>
      </c>
      <c r="F164">
        <v>0</v>
      </c>
      <c r="G164">
        <v>79.105732000000003</v>
      </c>
      <c r="I164">
        <f t="shared" si="8"/>
        <v>0.26340975432619773</v>
      </c>
      <c r="J164">
        <f t="shared" si="9"/>
        <v>0</v>
      </c>
      <c r="K164">
        <f t="shared" si="10"/>
        <v>0</v>
      </c>
      <c r="L164">
        <f t="shared" si="11"/>
        <v>0</v>
      </c>
    </row>
    <row r="165" spans="1:12" x14ac:dyDescent="0.35">
      <c r="A165" s="1" t="s">
        <v>52</v>
      </c>
      <c r="B165">
        <v>0.41783028900000002</v>
      </c>
      <c r="C165">
        <v>9.4690999999999994E-3</v>
      </c>
      <c r="D165">
        <v>0</v>
      </c>
      <c r="E165">
        <v>0</v>
      </c>
      <c r="F165">
        <v>0</v>
      </c>
      <c r="G165">
        <v>79.523561999999998</v>
      </c>
      <c r="I165">
        <f t="shared" si="8"/>
        <v>0.45356478630764774</v>
      </c>
      <c r="J165">
        <f t="shared" si="9"/>
        <v>0</v>
      </c>
      <c r="K165">
        <f t="shared" si="10"/>
        <v>0</v>
      </c>
      <c r="L165">
        <f t="shared" si="11"/>
        <v>0</v>
      </c>
    </row>
    <row r="166" spans="1:12" x14ac:dyDescent="0.35">
      <c r="A166" s="1" t="s">
        <v>87</v>
      </c>
      <c r="B166">
        <v>0.16200000000000001</v>
      </c>
      <c r="C166">
        <v>0</v>
      </c>
      <c r="D166">
        <v>-2.8698264299999998</v>
      </c>
      <c r="E166">
        <v>0</v>
      </c>
      <c r="F166">
        <v>0</v>
      </c>
      <c r="G166">
        <v>79.732562000000001</v>
      </c>
      <c r="I166">
        <f t="shared" si="8"/>
        <v>0</v>
      </c>
      <c r="J166">
        <f t="shared" si="9"/>
        <v>-57.436263181619168</v>
      </c>
      <c r="K166">
        <f t="shared" si="10"/>
        <v>0</v>
      </c>
      <c r="L166">
        <f t="shared" si="11"/>
        <v>0</v>
      </c>
    </row>
    <row r="167" spans="1:12" x14ac:dyDescent="0.35">
      <c r="A167" s="1" t="s">
        <v>54</v>
      </c>
      <c r="B167">
        <v>0.1</v>
      </c>
      <c r="C167">
        <v>0</v>
      </c>
      <c r="D167">
        <v>0</v>
      </c>
      <c r="E167">
        <v>0</v>
      </c>
      <c r="F167">
        <v>0</v>
      </c>
      <c r="G167">
        <v>80.062562</v>
      </c>
      <c r="I167">
        <f t="shared" si="8"/>
        <v>0</v>
      </c>
      <c r="J167">
        <f t="shared" si="9"/>
        <v>0</v>
      </c>
      <c r="K167">
        <f t="shared" si="10"/>
        <v>0</v>
      </c>
      <c r="L167">
        <f t="shared" si="11"/>
        <v>0</v>
      </c>
    </row>
    <row r="168" spans="1:12" x14ac:dyDescent="0.35">
      <c r="A168" s="1" t="s">
        <v>88</v>
      </c>
      <c r="B168">
        <v>0.29499999999999998</v>
      </c>
      <c r="C168">
        <v>0</v>
      </c>
      <c r="D168">
        <v>2.43875777</v>
      </c>
      <c r="E168">
        <v>0</v>
      </c>
      <c r="F168">
        <v>0</v>
      </c>
      <c r="G168">
        <v>80.467562000000001</v>
      </c>
      <c r="I168">
        <f t="shared" si="8"/>
        <v>0</v>
      </c>
      <c r="J168">
        <f t="shared" si="9"/>
        <v>48.808921560436907</v>
      </c>
      <c r="K168">
        <f t="shared" si="10"/>
        <v>0</v>
      </c>
      <c r="L168">
        <f t="shared" si="11"/>
        <v>0</v>
      </c>
    </row>
    <row r="169" spans="1:12" x14ac:dyDescent="0.35">
      <c r="A169" s="1" t="s">
        <v>56</v>
      </c>
      <c r="B169">
        <v>0.29499999999999998</v>
      </c>
      <c r="C169">
        <v>0</v>
      </c>
      <c r="D169">
        <v>2.43875777</v>
      </c>
      <c r="E169">
        <v>0</v>
      </c>
      <c r="F169">
        <v>0</v>
      </c>
      <c r="G169">
        <v>86.340715000000003</v>
      </c>
      <c r="I169">
        <f t="shared" si="8"/>
        <v>0</v>
      </c>
      <c r="J169">
        <f t="shared" si="9"/>
        <v>48.808921560436907</v>
      </c>
      <c r="K169">
        <f t="shared" si="10"/>
        <v>0</v>
      </c>
      <c r="L169">
        <f t="shared" si="11"/>
        <v>0</v>
      </c>
    </row>
    <row r="170" spans="1:12" x14ac:dyDescent="0.35">
      <c r="A170" s="1" t="s">
        <v>2</v>
      </c>
      <c r="B170">
        <v>0.1</v>
      </c>
      <c r="C170">
        <v>0</v>
      </c>
      <c r="D170">
        <v>0</v>
      </c>
      <c r="E170">
        <v>0</v>
      </c>
      <c r="F170">
        <v>0</v>
      </c>
      <c r="G170">
        <v>86.550714999999997</v>
      </c>
      <c r="I170">
        <f t="shared" si="8"/>
        <v>0</v>
      </c>
      <c r="J170">
        <f t="shared" si="9"/>
        <v>0</v>
      </c>
      <c r="K170">
        <f t="shared" si="10"/>
        <v>0</v>
      </c>
      <c r="L170">
        <f t="shared" si="11"/>
        <v>0</v>
      </c>
    </row>
    <row r="171" spans="1:12" x14ac:dyDescent="0.35">
      <c r="A171" s="1" t="s">
        <v>57</v>
      </c>
      <c r="B171">
        <v>0.16200000000000001</v>
      </c>
      <c r="C171">
        <v>0</v>
      </c>
      <c r="D171">
        <v>-2.8698264299999998</v>
      </c>
      <c r="E171">
        <v>0</v>
      </c>
      <c r="F171">
        <v>0</v>
      </c>
      <c r="G171">
        <v>86.942715000000007</v>
      </c>
      <c r="I171">
        <f t="shared" si="8"/>
        <v>0</v>
      </c>
      <c r="J171">
        <f t="shared" si="9"/>
        <v>-57.436263181619168</v>
      </c>
      <c r="K171">
        <f t="shared" si="10"/>
        <v>0</v>
      </c>
      <c r="L171">
        <f t="shared" si="11"/>
        <v>0</v>
      </c>
    </row>
    <row r="172" spans="1:12" x14ac:dyDescent="0.35">
      <c r="A172" s="1" t="s">
        <v>58</v>
      </c>
      <c r="B172">
        <v>0.41783028900000002</v>
      </c>
      <c r="C172">
        <v>9.4690999999999994E-3</v>
      </c>
      <c r="D172">
        <v>0</v>
      </c>
      <c r="E172">
        <v>0</v>
      </c>
      <c r="F172">
        <v>0</v>
      </c>
      <c r="G172">
        <v>87.407544999999999</v>
      </c>
      <c r="I172">
        <f t="shared" si="8"/>
        <v>0.45356478630764774</v>
      </c>
      <c r="J172">
        <f t="shared" si="9"/>
        <v>0</v>
      </c>
      <c r="K172">
        <f t="shared" si="10"/>
        <v>0</v>
      </c>
      <c r="L172">
        <f t="shared" si="11"/>
        <v>0</v>
      </c>
    </row>
    <row r="173" spans="1:12" x14ac:dyDescent="0.35">
      <c r="A173" s="1" t="s">
        <v>59</v>
      </c>
      <c r="B173">
        <v>0.41782864199999997</v>
      </c>
      <c r="C173">
        <v>5.4992000000000001E-3</v>
      </c>
      <c r="D173">
        <v>0</v>
      </c>
      <c r="E173">
        <v>0</v>
      </c>
      <c r="F173">
        <v>0</v>
      </c>
      <c r="G173">
        <v>87.825373999999996</v>
      </c>
      <c r="I173">
        <f t="shared" si="8"/>
        <v>0.26340975432619773</v>
      </c>
      <c r="J173">
        <f t="shared" si="9"/>
        <v>0</v>
      </c>
      <c r="K173">
        <f t="shared" si="10"/>
        <v>0</v>
      </c>
      <c r="L173">
        <f t="shared" si="11"/>
        <v>0</v>
      </c>
    </row>
    <row r="174" spans="1:12" x14ac:dyDescent="0.35">
      <c r="A174" s="1" t="s">
        <v>60</v>
      </c>
      <c r="B174">
        <v>0.41782827500000003</v>
      </c>
      <c r="C174">
        <v>4.1392E-3</v>
      </c>
      <c r="D174">
        <v>0</v>
      </c>
      <c r="E174">
        <v>0</v>
      </c>
      <c r="F174">
        <v>0</v>
      </c>
      <c r="G174">
        <v>88.243201999999997</v>
      </c>
      <c r="I174">
        <f t="shared" si="8"/>
        <v>0.19826640470947862</v>
      </c>
      <c r="J174">
        <f t="shared" si="9"/>
        <v>0</v>
      </c>
      <c r="K174">
        <f t="shared" si="10"/>
        <v>0</v>
      </c>
      <c r="L174">
        <f t="shared" si="11"/>
        <v>0</v>
      </c>
    </row>
    <row r="175" spans="1:12" x14ac:dyDescent="0.35">
      <c r="A175" s="1" t="s">
        <v>61</v>
      </c>
      <c r="B175">
        <v>0.41782808399999999</v>
      </c>
      <c r="C175">
        <v>3.2192000000000002E-3</v>
      </c>
      <c r="D175">
        <v>0</v>
      </c>
      <c r="E175">
        <v>0</v>
      </c>
      <c r="F175">
        <v>0</v>
      </c>
      <c r="G175">
        <v>88.661029999999997</v>
      </c>
      <c r="I175">
        <f t="shared" si="8"/>
        <v>0.15419875865034546</v>
      </c>
      <c r="J175">
        <f t="shared" si="9"/>
        <v>0</v>
      </c>
      <c r="K175">
        <f t="shared" si="10"/>
        <v>0</v>
      </c>
      <c r="L175">
        <f t="shared" si="11"/>
        <v>0</v>
      </c>
    </row>
    <row r="176" spans="1:12" x14ac:dyDescent="0.35">
      <c r="A176" s="1" t="s">
        <v>62</v>
      </c>
      <c r="B176">
        <v>0.41782794400000001</v>
      </c>
      <c r="C176">
        <v>2.3392E-3</v>
      </c>
      <c r="D176">
        <v>0</v>
      </c>
      <c r="E176">
        <v>0</v>
      </c>
      <c r="F176">
        <v>0</v>
      </c>
      <c r="G176">
        <v>89.078857999999997</v>
      </c>
      <c r="I176">
        <f t="shared" si="8"/>
        <v>0.11204704805350077</v>
      </c>
      <c r="J176">
        <f t="shared" si="9"/>
        <v>0</v>
      </c>
      <c r="K176">
        <f t="shared" si="10"/>
        <v>0</v>
      </c>
      <c r="L176">
        <f t="shared" si="11"/>
        <v>0</v>
      </c>
    </row>
    <row r="177" spans="1:12" x14ac:dyDescent="0.35">
      <c r="A177" s="1" t="s">
        <v>63</v>
      </c>
      <c r="B177">
        <v>0.21199999999999999</v>
      </c>
      <c r="C177">
        <v>0</v>
      </c>
      <c r="D177">
        <v>-2.3709669899999999</v>
      </c>
      <c r="E177">
        <v>0</v>
      </c>
      <c r="F177">
        <v>0</v>
      </c>
      <c r="G177">
        <v>89.337857999999997</v>
      </c>
      <c r="I177">
        <f t="shared" si="8"/>
        <v>0</v>
      </c>
      <c r="J177">
        <f t="shared" si="9"/>
        <v>-47.452167353748784</v>
      </c>
      <c r="K177">
        <f t="shared" si="10"/>
        <v>0</v>
      </c>
      <c r="L177">
        <f t="shared" si="11"/>
        <v>0</v>
      </c>
    </row>
    <row r="178" spans="1:12" x14ac:dyDescent="0.35">
      <c r="A178" s="1" t="s">
        <v>64</v>
      </c>
      <c r="B178">
        <v>0.16600000000000001</v>
      </c>
      <c r="C178">
        <v>0</v>
      </c>
      <c r="D178">
        <v>0</v>
      </c>
      <c r="E178">
        <v>-132.861086</v>
      </c>
      <c r="F178">
        <v>0</v>
      </c>
      <c r="G178">
        <v>89.578857999999997</v>
      </c>
      <c r="I178">
        <f t="shared" si="8"/>
        <v>0</v>
      </c>
      <c r="J178">
        <f t="shared" si="9"/>
        <v>0</v>
      </c>
      <c r="K178">
        <f t="shared" si="10"/>
        <v>-2659.0612666744933</v>
      </c>
      <c r="L178">
        <f t="shared" si="11"/>
        <v>0</v>
      </c>
    </row>
    <row r="179" spans="1:12" x14ac:dyDescent="0.35">
      <c r="A179" s="1" t="s">
        <v>65</v>
      </c>
      <c r="B179">
        <v>0.21199999999999999</v>
      </c>
      <c r="C179">
        <v>0</v>
      </c>
      <c r="D179">
        <v>2.47240752</v>
      </c>
      <c r="E179">
        <v>0</v>
      </c>
      <c r="F179">
        <v>0</v>
      </c>
      <c r="G179">
        <v>90.391711999999998</v>
      </c>
      <c r="I179">
        <f t="shared" si="8"/>
        <v>0</v>
      </c>
      <c r="J179">
        <f t="shared" si="9"/>
        <v>49.48238246273813</v>
      </c>
      <c r="K179">
        <f t="shared" si="10"/>
        <v>0</v>
      </c>
      <c r="L179">
        <f t="shared" si="11"/>
        <v>0</v>
      </c>
    </row>
    <row r="180" spans="1:12" x14ac:dyDescent="0.35">
      <c r="A180" s="1" t="s">
        <v>66</v>
      </c>
      <c r="B180">
        <v>0.1</v>
      </c>
      <c r="C180">
        <v>0</v>
      </c>
      <c r="D180">
        <v>0</v>
      </c>
      <c r="E180">
        <v>172.62799999999999</v>
      </c>
      <c r="F180">
        <v>0</v>
      </c>
      <c r="G180">
        <v>90.566711999999995</v>
      </c>
      <c r="I180">
        <f t="shared" si="8"/>
        <v>0</v>
      </c>
      <c r="J180">
        <f t="shared" si="9"/>
        <v>0</v>
      </c>
      <c r="K180">
        <f t="shared" si="10"/>
        <v>3454.9501450220296</v>
      </c>
      <c r="L180">
        <f t="shared" si="11"/>
        <v>0</v>
      </c>
    </row>
    <row r="181" spans="1:12" x14ac:dyDescent="0.35">
      <c r="A181" s="1" t="s">
        <v>66</v>
      </c>
      <c r="B181">
        <v>0.1</v>
      </c>
      <c r="C181">
        <v>0</v>
      </c>
      <c r="D181">
        <v>0</v>
      </c>
      <c r="E181">
        <v>172.62799999999999</v>
      </c>
      <c r="F181">
        <v>0</v>
      </c>
      <c r="G181">
        <f>90.566712+0.1</f>
        <v>90.66671199999999</v>
      </c>
      <c r="I181">
        <f t="shared" si="8"/>
        <v>0</v>
      </c>
      <c r="J181">
        <f t="shared" si="9"/>
        <v>0</v>
      </c>
      <c r="K181">
        <f t="shared" si="10"/>
        <v>3454.9501450220296</v>
      </c>
      <c r="L181">
        <f t="shared" si="11"/>
        <v>0</v>
      </c>
    </row>
    <row r="182" spans="1:12" x14ac:dyDescent="0.35">
      <c r="A182" s="1" t="s">
        <v>67</v>
      </c>
      <c r="B182">
        <v>0.21199999999999999</v>
      </c>
      <c r="C182">
        <v>0</v>
      </c>
      <c r="D182">
        <v>2.47240752</v>
      </c>
      <c r="E182">
        <v>0</v>
      </c>
      <c r="F182">
        <v>0</v>
      </c>
      <c r="G182">
        <v>90.953711999999996</v>
      </c>
      <c r="I182">
        <f t="shared" si="8"/>
        <v>0</v>
      </c>
      <c r="J182">
        <f t="shared" si="9"/>
        <v>49.48238246273813</v>
      </c>
      <c r="K182">
        <f t="shared" si="10"/>
        <v>0</v>
      </c>
      <c r="L182">
        <f t="shared" si="11"/>
        <v>0</v>
      </c>
    </row>
    <row r="183" spans="1:12" x14ac:dyDescent="0.35">
      <c r="A183" s="1" t="s">
        <v>68</v>
      </c>
      <c r="B183">
        <v>0.09</v>
      </c>
      <c r="C183">
        <v>0</v>
      </c>
      <c r="D183">
        <v>0</v>
      </c>
      <c r="E183">
        <v>0</v>
      </c>
      <c r="F183">
        <v>-13632</v>
      </c>
      <c r="G183">
        <v>91.103712000000002</v>
      </c>
      <c r="I183">
        <f t="shared" si="8"/>
        <v>0</v>
      </c>
      <c r="J183">
        <f t="shared" si="9"/>
        <v>0</v>
      </c>
      <c r="K183">
        <f t="shared" si="10"/>
        <v>0</v>
      </c>
      <c r="L183">
        <f t="shared" si="11"/>
        <v>-272828.74375501258</v>
      </c>
    </row>
    <row r="184" spans="1:12" x14ac:dyDescent="0.35">
      <c r="A184" s="1" t="s">
        <v>69</v>
      </c>
      <c r="B184">
        <v>0.16600000000000001</v>
      </c>
      <c r="C184">
        <v>0</v>
      </c>
      <c r="D184">
        <v>0</v>
      </c>
      <c r="E184">
        <v>-202.23429300000001</v>
      </c>
      <c r="F184">
        <v>0</v>
      </c>
      <c r="G184">
        <v>91.720564999999993</v>
      </c>
      <c r="I184">
        <f t="shared" si="8"/>
        <v>0</v>
      </c>
      <c r="J184">
        <f t="shared" si="9"/>
        <v>0</v>
      </c>
      <c r="K184">
        <f t="shared" si="10"/>
        <v>-4047.4859230760812</v>
      </c>
      <c r="L184">
        <f t="shared" si="11"/>
        <v>0</v>
      </c>
    </row>
    <row r="185" spans="1:12" x14ac:dyDescent="0.35">
      <c r="A185" s="1" t="s">
        <v>70</v>
      </c>
      <c r="B185">
        <v>0.21199999999999999</v>
      </c>
      <c r="C185">
        <v>0</v>
      </c>
      <c r="D185">
        <v>-2.53358734</v>
      </c>
      <c r="E185">
        <v>0</v>
      </c>
      <c r="F185">
        <v>0</v>
      </c>
      <c r="G185">
        <v>92.007565</v>
      </c>
      <c r="I185">
        <f t="shared" si="8"/>
        <v>0</v>
      </c>
      <c r="J185">
        <f t="shared" si="9"/>
        <v>-50.706825936458621</v>
      </c>
      <c r="K185">
        <f t="shared" si="10"/>
        <v>0</v>
      </c>
      <c r="L185">
        <f t="shared" si="11"/>
        <v>0</v>
      </c>
    </row>
    <row r="186" spans="1:12" x14ac:dyDescent="0.35">
      <c r="A186" s="1" t="s">
        <v>20</v>
      </c>
      <c r="B186">
        <v>0.41782794400000001</v>
      </c>
      <c r="C186">
        <v>2.3392E-3</v>
      </c>
      <c r="D186">
        <v>0</v>
      </c>
      <c r="E186">
        <v>0</v>
      </c>
      <c r="F186">
        <v>0</v>
      </c>
      <c r="G186">
        <v>92.472392999999997</v>
      </c>
      <c r="I186">
        <f t="shared" si="8"/>
        <v>0.11204704805350077</v>
      </c>
      <c r="J186">
        <f t="shared" si="9"/>
        <v>0</v>
      </c>
      <c r="K186">
        <f t="shared" si="10"/>
        <v>0</v>
      </c>
      <c r="L186">
        <f t="shared" si="11"/>
        <v>0</v>
      </c>
    </row>
    <row r="187" spans="1:12" x14ac:dyDescent="0.35">
      <c r="A187" s="1" t="s">
        <v>21</v>
      </c>
      <c r="B187">
        <v>0.41782808399999999</v>
      </c>
      <c r="C187">
        <v>3.2192000000000002E-3</v>
      </c>
      <c r="D187">
        <v>0</v>
      </c>
      <c r="E187">
        <v>0</v>
      </c>
      <c r="F187">
        <v>0</v>
      </c>
      <c r="G187">
        <v>92.890220999999997</v>
      </c>
      <c r="I187">
        <f t="shared" si="8"/>
        <v>0.15419875865034546</v>
      </c>
      <c r="J187">
        <f t="shared" si="9"/>
        <v>0</v>
      </c>
      <c r="K187">
        <f t="shared" si="10"/>
        <v>0</v>
      </c>
      <c r="L187">
        <f t="shared" si="11"/>
        <v>0</v>
      </c>
    </row>
    <row r="188" spans="1:12" x14ac:dyDescent="0.35">
      <c r="A188" s="1" t="s">
        <v>22</v>
      </c>
      <c r="B188">
        <v>0.41782827500000003</v>
      </c>
      <c r="C188">
        <v>4.1392E-3</v>
      </c>
      <c r="D188">
        <v>0</v>
      </c>
      <c r="E188">
        <v>0</v>
      </c>
      <c r="F188">
        <v>0</v>
      </c>
      <c r="G188">
        <v>93.308048999999997</v>
      </c>
      <c r="I188">
        <f t="shared" si="8"/>
        <v>0.19826640470947862</v>
      </c>
      <c r="J188">
        <f t="shared" si="9"/>
        <v>0</v>
      </c>
      <c r="K188">
        <f t="shared" si="10"/>
        <v>0</v>
      </c>
      <c r="L188">
        <f t="shared" si="11"/>
        <v>0</v>
      </c>
    </row>
    <row r="189" spans="1:12" x14ac:dyDescent="0.35">
      <c r="A189" s="1" t="s">
        <v>23</v>
      </c>
      <c r="B189">
        <v>0.41782864199999997</v>
      </c>
      <c r="C189">
        <v>5.4992000000000001E-3</v>
      </c>
      <c r="D189">
        <v>0</v>
      </c>
      <c r="E189">
        <v>0</v>
      </c>
      <c r="F189">
        <v>0</v>
      </c>
      <c r="G189">
        <v>93.725877999999994</v>
      </c>
      <c r="I189">
        <f t="shared" si="8"/>
        <v>0.26340975432619773</v>
      </c>
      <c r="J189">
        <f t="shared" si="9"/>
        <v>0</v>
      </c>
      <c r="K189">
        <f t="shared" si="10"/>
        <v>0</v>
      </c>
      <c r="L189">
        <f t="shared" si="11"/>
        <v>0</v>
      </c>
    </row>
    <row r="190" spans="1:12" x14ac:dyDescent="0.35">
      <c r="A190" s="1" t="s">
        <v>24</v>
      </c>
      <c r="B190">
        <v>0.41782941899999998</v>
      </c>
      <c r="C190">
        <v>7.6290999999999998E-3</v>
      </c>
      <c r="D190">
        <v>0</v>
      </c>
      <c r="E190">
        <v>0</v>
      </c>
      <c r="F190">
        <v>0</v>
      </c>
      <c r="G190">
        <v>94.143708000000004</v>
      </c>
      <c r="I190">
        <f t="shared" si="8"/>
        <v>0.36543053893202671</v>
      </c>
      <c r="J190">
        <f t="shared" si="9"/>
        <v>0</v>
      </c>
      <c r="K190">
        <f t="shared" si="10"/>
        <v>0</v>
      </c>
      <c r="L190">
        <f t="shared" si="11"/>
        <v>0</v>
      </c>
    </row>
    <row r="191" spans="1:12" x14ac:dyDescent="0.35">
      <c r="A191" s="1" t="s">
        <v>71</v>
      </c>
      <c r="B191">
        <v>0.3745</v>
      </c>
      <c r="C191">
        <v>0</v>
      </c>
      <c r="D191">
        <v>4.5116622</v>
      </c>
      <c r="E191">
        <v>0</v>
      </c>
      <c r="F191">
        <v>0</v>
      </c>
      <c r="G191">
        <v>94.668208000000007</v>
      </c>
      <c r="I191">
        <f t="shared" si="8"/>
        <v>0</v>
      </c>
      <c r="J191">
        <f t="shared" si="9"/>
        <v>90.29571084748946</v>
      </c>
      <c r="K191">
        <f t="shared" si="10"/>
        <v>0</v>
      </c>
      <c r="L191">
        <f t="shared" si="11"/>
        <v>0</v>
      </c>
    </row>
    <row r="192" spans="1:12" x14ac:dyDescent="0.35">
      <c r="A192" s="1" t="s">
        <v>72</v>
      </c>
      <c r="B192">
        <v>1.0280365199999999</v>
      </c>
      <c r="C192">
        <v>2.4767999999999998E-2</v>
      </c>
      <c r="D192">
        <v>-1.929</v>
      </c>
      <c r="E192">
        <v>0</v>
      </c>
      <c r="F192">
        <v>0</v>
      </c>
      <c r="G192">
        <v>95.786243999999996</v>
      </c>
      <c r="I192">
        <f t="shared" si="8"/>
        <v>0.48218416286837618</v>
      </c>
      <c r="J192">
        <f t="shared" si="9"/>
        <v>-38.606708238220314</v>
      </c>
      <c r="K192">
        <f t="shared" si="10"/>
        <v>0</v>
      </c>
      <c r="L192">
        <f t="shared" si="11"/>
        <v>0</v>
      </c>
    </row>
    <row r="193" spans="1:12" x14ac:dyDescent="0.35">
      <c r="A193" s="1" t="s">
        <v>73</v>
      </c>
      <c r="B193">
        <v>0.4975</v>
      </c>
      <c r="C193">
        <v>0</v>
      </c>
      <c r="D193">
        <v>4.61414189</v>
      </c>
      <c r="E193">
        <v>0</v>
      </c>
      <c r="F193">
        <v>0</v>
      </c>
      <c r="G193">
        <v>96.373744000000002</v>
      </c>
      <c r="I193">
        <f t="shared" si="8"/>
        <v>0</v>
      </c>
      <c r="J193">
        <f t="shared" si="9"/>
        <v>92.346723544313335</v>
      </c>
      <c r="K193">
        <f t="shared" si="10"/>
        <v>0</v>
      </c>
      <c r="L193">
        <f t="shared" si="11"/>
        <v>0</v>
      </c>
    </row>
    <row r="194" spans="1:12" x14ac:dyDescent="0.35">
      <c r="A194" s="1" t="s">
        <v>28</v>
      </c>
      <c r="B194">
        <v>0.1</v>
      </c>
      <c r="C194">
        <v>0</v>
      </c>
      <c r="D194">
        <v>0</v>
      </c>
      <c r="E194">
        <v>0</v>
      </c>
      <c r="F194">
        <v>0</v>
      </c>
      <c r="G194">
        <v>96.544815</v>
      </c>
      <c r="I194">
        <f t="shared" si="8"/>
        <v>0</v>
      </c>
      <c r="J194">
        <f t="shared" si="9"/>
        <v>0</v>
      </c>
      <c r="K194">
        <f t="shared" si="10"/>
        <v>0</v>
      </c>
      <c r="L194">
        <f t="shared" si="11"/>
        <v>0</v>
      </c>
    </row>
    <row r="195" spans="1:12" x14ac:dyDescent="0.35">
      <c r="A195" s="1" t="s">
        <v>74</v>
      </c>
      <c r="B195">
        <v>0.40000102700000001</v>
      </c>
      <c r="C195">
        <v>5.2300999999999997E-3</v>
      </c>
      <c r="D195">
        <v>-1.5815999999999999</v>
      </c>
      <c r="E195">
        <v>0</v>
      </c>
      <c r="F195">
        <v>0</v>
      </c>
      <c r="G195">
        <v>97.037816000000007</v>
      </c>
      <c r="I195">
        <f t="shared" si="8"/>
        <v>0.26168536331815889</v>
      </c>
      <c r="J195">
        <f t="shared" si="9"/>
        <v>-31.653898263125576</v>
      </c>
      <c r="K195">
        <f t="shared" si="10"/>
        <v>0</v>
      </c>
      <c r="L195">
        <f t="shared" si="11"/>
        <v>0</v>
      </c>
    </row>
    <row r="196" spans="1:12" x14ac:dyDescent="0.35">
      <c r="A196" s="1" t="s">
        <v>30</v>
      </c>
      <c r="B196">
        <v>2.44294E-2</v>
      </c>
      <c r="C196">
        <v>1.0499000000000001E-3</v>
      </c>
      <c r="D196">
        <v>0</v>
      </c>
      <c r="E196">
        <v>0</v>
      </c>
      <c r="F196">
        <v>0</v>
      </c>
      <c r="G196">
        <v>97.132745</v>
      </c>
      <c r="I196">
        <f t="shared" ref="I196:I259" si="12">$H$2*$C196/$B196</f>
        <v>0.8601331402616047</v>
      </c>
      <c r="J196">
        <f t="shared" ref="J196:J259" si="13">$H$2*$D196</f>
        <v>0</v>
      </c>
      <c r="K196">
        <f t="shared" ref="K196:K259" si="14">$H$2*$E196</f>
        <v>0</v>
      </c>
      <c r="L196">
        <f t="shared" ref="L196:L259" si="15">$H$2*$F196</f>
        <v>0</v>
      </c>
    </row>
    <row r="197" spans="1:12" x14ac:dyDescent="0.35">
      <c r="A197" s="1" t="s">
        <v>30</v>
      </c>
      <c r="B197">
        <v>2.44294E-2</v>
      </c>
      <c r="C197">
        <v>1.0499000000000001E-3</v>
      </c>
      <c r="D197">
        <v>0</v>
      </c>
      <c r="E197">
        <v>0</v>
      </c>
      <c r="F197">
        <v>0</v>
      </c>
      <c r="G197">
        <f>97.132745+0.0244294</f>
        <v>97.157174400000002</v>
      </c>
      <c r="I197">
        <f t="shared" si="12"/>
        <v>0.8601331402616047</v>
      </c>
      <c r="J197">
        <f t="shared" si="13"/>
        <v>0</v>
      </c>
      <c r="K197">
        <f t="shared" si="14"/>
        <v>0</v>
      </c>
      <c r="L197">
        <f t="shared" si="15"/>
        <v>0</v>
      </c>
    </row>
    <row r="198" spans="1:12" x14ac:dyDescent="0.35">
      <c r="A198" s="1" t="s">
        <v>75</v>
      </c>
      <c r="B198">
        <v>0.40000102700000001</v>
      </c>
      <c r="C198">
        <v>5.2300999999999997E-3</v>
      </c>
      <c r="D198">
        <v>-1.5815999999999999</v>
      </c>
      <c r="E198">
        <v>0</v>
      </c>
      <c r="F198">
        <v>0</v>
      </c>
      <c r="G198">
        <v>97.627675999999994</v>
      </c>
      <c r="I198">
        <f t="shared" si="12"/>
        <v>0.26168536331815889</v>
      </c>
      <c r="J198">
        <f t="shared" si="13"/>
        <v>-31.653898263125576</v>
      </c>
      <c r="K198">
        <f t="shared" si="14"/>
        <v>0</v>
      </c>
      <c r="L198">
        <f t="shared" si="15"/>
        <v>0</v>
      </c>
    </row>
    <row r="199" spans="1:12" x14ac:dyDescent="0.35">
      <c r="A199" s="1" t="s">
        <v>76</v>
      </c>
      <c r="B199">
        <v>0.4975</v>
      </c>
      <c r="C199">
        <v>0</v>
      </c>
      <c r="D199">
        <v>4.61414189</v>
      </c>
      <c r="E199">
        <v>0</v>
      </c>
      <c r="F199">
        <v>0</v>
      </c>
      <c r="G199">
        <v>98.389246</v>
      </c>
      <c r="I199">
        <f t="shared" si="12"/>
        <v>0</v>
      </c>
      <c r="J199">
        <f t="shared" si="13"/>
        <v>92.346723544313335</v>
      </c>
      <c r="K199">
        <f t="shared" si="14"/>
        <v>0</v>
      </c>
      <c r="L199">
        <f t="shared" si="15"/>
        <v>0</v>
      </c>
    </row>
    <row r="200" spans="1:12" x14ac:dyDescent="0.35">
      <c r="A200" s="1" t="s">
        <v>77</v>
      </c>
      <c r="B200">
        <v>1.0280365199999999</v>
      </c>
      <c r="C200">
        <v>2.4767999999999998E-2</v>
      </c>
      <c r="D200">
        <v>-1.929</v>
      </c>
      <c r="E200">
        <v>0</v>
      </c>
      <c r="F200">
        <v>0</v>
      </c>
      <c r="G200">
        <v>99.507283000000001</v>
      </c>
      <c r="I200">
        <f t="shared" si="12"/>
        <v>0.48218416286837618</v>
      </c>
      <c r="J200">
        <f t="shared" si="13"/>
        <v>-38.606708238220314</v>
      </c>
      <c r="K200">
        <f t="shared" si="14"/>
        <v>0</v>
      </c>
      <c r="L200">
        <f t="shared" si="15"/>
        <v>0</v>
      </c>
    </row>
    <row r="201" spans="1:12" x14ac:dyDescent="0.35">
      <c r="A201" s="1" t="s">
        <v>78</v>
      </c>
      <c r="B201">
        <v>0.3745</v>
      </c>
      <c r="C201">
        <v>0</v>
      </c>
      <c r="D201">
        <v>4.5116622</v>
      </c>
      <c r="E201">
        <v>0</v>
      </c>
      <c r="F201">
        <v>0</v>
      </c>
      <c r="G201">
        <v>99.971783000000002</v>
      </c>
      <c r="I201">
        <f t="shared" si="12"/>
        <v>0</v>
      </c>
      <c r="J201">
        <f t="shared" si="13"/>
        <v>90.29571084748946</v>
      </c>
      <c r="K201">
        <f t="shared" si="14"/>
        <v>0</v>
      </c>
      <c r="L201">
        <f t="shared" si="15"/>
        <v>0</v>
      </c>
    </row>
    <row r="202" spans="1:12" x14ac:dyDescent="0.35">
      <c r="A202" s="1" t="s">
        <v>35</v>
      </c>
      <c r="B202">
        <v>0.41782941899999998</v>
      </c>
      <c r="C202">
        <v>7.6290999999999998E-3</v>
      </c>
      <c r="D202">
        <v>0</v>
      </c>
      <c r="E202">
        <v>0</v>
      </c>
      <c r="F202">
        <v>0</v>
      </c>
      <c r="G202">
        <v>100.53961</v>
      </c>
      <c r="I202">
        <f t="shared" si="12"/>
        <v>0.36543053893202671</v>
      </c>
      <c r="J202">
        <f t="shared" si="13"/>
        <v>0</v>
      </c>
      <c r="K202">
        <f t="shared" si="14"/>
        <v>0</v>
      </c>
      <c r="L202">
        <f t="shared" si="15"/>
        <v>0</v>
      </c>
    </row>
    <row r="203" spans="1:12" x14ac:dyDescent="0.35">
      <c r="A203" s="1" t="s">
        <v>36</v>
      </c>
      <c r="B203">
        <v>0.41782864199999997</v>
      </c>
      <c r="C203">
        <v>5.4992000000000001E-3</v>
      </c>
      <c r="D203">
        <v>0</v>
      </c>
      <c r="E203">
        <v>0</v>
      </c>
      <c r="F203">
        <v>0</v>
      </c>
      <c r="G203">
        <v>100.95744000000001</v>
      </c>
      <c r="I203">
        <f t="shared" si="12"/>
        <v>0.26340975432619773</v>
      </c>
      <c r="J203">
        <f t="shared" si="13"/>
        <v>0</v>
      </c>
      <c r="K203">
        <f t="shared" si="14"/>
        <v>0</v>
      </c>
      <c r="L203">
        <f t="shared" si="15"/>
        <v>0</v>
      </c>
    </row>
    <row r="204" spans="1:12" x14ac:dyDescent="0.35">
      <c r="A204" s="1" t="s">
        <v>37</v>
      </c>
      <c r="B204">
        <v>0.41782827500000003</v>
      </c>
      <c r="C204">
        <v>4.1392E-3</v>
      </c>
      <c r="D204">
        <v>0</v>
      </c>
      <c r="E204">
        <v>0</v>
      </c>
      <c r="F204">
        <v>0</v>
      </c>
      <c r="G204">
        <v>101.37527</v>
      </c>
      <c r="I204">
        <f t="shared" si="12"/>
        <v>0.19826640470947862</v>
      </c>
      <c r="J204">
        <f t="shared" si="13"/>
        <v>0</v>
      </c>
      <c r="K204">
        <f t="shared" si="14"/>
        <v>0</v>
      </c>
      <c r="L204">
        <f t="shared" si="15"/>
        <v>0</v>
      </c>
    </row>
    <row r="205" spans="1:12" x14ac:dyDescent="0.35">
      <c r="A205" s="1" t="s">
        <v>38</v>
      </c>
      <c r="B205">
        <v>0.41782808399999999</v>
      </c>
      <c r="C205">
        <v>3.2192000000000002E-3</v>
      </c>
      <c r="D205">
        <v>0</v>
      </c>
      <c r="E205">
        <v>0</v>
      </c>
      <c r="F205">
        <v>0</v>
      </c>
      <c r="G205">
        <v>101.7931</v>
      </c>
      <c r="I205">
        <f t="shared" si="12"/>
        <v>0.15419875865034546</v>
      </c>
      <c r="J205">
        <f t="shared" si="13"/>
        <v>0</v>
      </c>
      <c r="K205">
        <f t="shared" si="14"/>
        <v>0</v>
      </c>
      <c r="L205">
        <f t="shared" si="15"/>
        <v>0</v>
      </c>
    </row>
    <row r="206" spans="1:12" x14ac:dyDescent="0.35">
      <c r="A206" s="1" t="s">
        <v>39</v>
      </c>
      <c r="B206">
        <v>0.41782794400000001</v>
      </c>
      <c r="C206">
        <v>2.3392E-3</v>
      </c>
      <c r="D206">
        <v>0</v>
      </c>
      <c r="E206">
        <v>0</v>
      </c>
      <c r="F206">
        <v>0</v>
      </c>
      <c r="G206">
        <v>102.21093</v>
      </c>
      <c r="I206">
        <f t="shared" si="12"/>
        <v>0.11204704805350077</v>
      </c>
      <c r="J206">
        <f t="shared" si="13"/>
        <v>0</v>
      </c>
      <c r="K206">
        <f t="shared" si="14"/>
        <v>0</v>
      </c>
      <c r="L206">
        <f t="shared" si="15"/>
        <v>0</v>
      </c>
    </row>
    <row r="207" spans="1:12" x14ac:dyDescent="0.35">
      <c r="A207" s="1" t="s">
        <v>79</v>
      </c>
      <c r="B207">
        <v>0.21199999999999999</v>
      </c>
      <c r="C207">
        <v>0</v>
      </c>
      <c r="D207">
        <v>-2.53358734</v>
      </c>
      <c r="E207">
        <v>0</v>
      </c>
      <c r="F207">
        <v>0</v>
      </c>
      <c r="G207">
        <v>102.46993000000001</v>
      </c>
      <c r="I207">
        <f t="shared" si="12"/>
        <v>0</v>
      </c>
      <c r="J207">
        <f t="shared" si="13"/>
        <v>-50.706825936458621</v>
      </c>
      <c r="K207">
        <f t="shared" si="14"/>
        <v>0</v>
      </c>
      <c r="L207">
        <f t="shared" si="15"/>
        <v>0</v>
      </c>
    </row>
    <row r="208" spans="1:12" x14ac:dyDescent="0.35">
      <c r="A208" s="1" t="s">
        <v>80</v>
      </c>
      <c r="B208">
        <v>0.16600000000000001</v>
      </c>
      <c r="C208">
        <v>0</v>
      </c>
      <c r="D208">
        <v>0</v>
      </c>
      <c r="E208">
        <v>-202.23429300000001</v>
      </c>
      <c r="F208">
        <v>0</v>
      </c>
      <c r="G208">
        <v>102.71093</v>
      </c>
      <c r="I208">
        <f t="shared" si="12"/>
        <v>0</v>
      </c>
      <c r="J208">
        <f t="shared" si="13"/>
        <v>0</v>
      </c>
      <c r="K208">
        <f t="shared" si="14"/>
        <v>-4047.4859230760812</v>
      </c>
      <c r="L208">
        <f t="shared" si="15"/>
        <v>0</v>
      </c>
    </row>
    <row r="209" spans="1:12" x14ac:dyDescent="0.35">
      <c r="A209" s="1" t="s">
        <v>81</v>
      </c>
      <c r="B209">
        <v>0.09</v>
      </c>
      <c r="C209">
        <v>0</v>
      </c>
      <c r="D209">
        <v>0</v>
      </c>
      <c r="E209">
        <v>0</v>
      </c>
      <c r="F209">
        <v>-13632</v>
      </c>
      <c r="G209">
        <v>103.25178</v>
      </c>
      <c r="I209">
        <f t="shared" si="12"/>
        <v>0</v>
      </c>
      <c r="J209">
        <f t="shared" si="13"/>
        <v>0</v>
      </c>
      <c r="K209">
        <f t="shared" si="14"/>
        <v>0</v>
      </c>
      <c r="L209">
        <f t="shared" si="15"/>
        <v>-272828.74375501258</v>
      </c>
    </row>
    <row r="210" spans="1:12" x14ac:dyDescent="0.35">
      <c r="A210" s="1" t="s">
        <v>82</v>
      </c>
      <c r="B210">
        <v>0.21199999999999999</v>
      </c>
      <c r="C210">
        <v>0</v>
      </c>
      <c r="D210">
        <v>2.47240752</v>
      </c>
      <c r="E210">
        <v>0</v>
      </c>
      <c r="F210">
        <v>0</v>
      </c>
      <c r="G210">
        <v>103.52378</v>
      </c>
      <c r="I210">
        <f t="shared" si="12"/>
        <v>0</v>
      </c>
      <c r="J210">
        <f t="shared" si="13"/>
        <v>49.48238246273813</v>
      </c>
      <c r="K210">
        <f t="shared" si="14"/>
        <v>0</v>
      </c>
      <c r="L210">
        <f t="shared" si="15"/>
        <v>0</v>
      </c>
    </row>
    <row r="211" spans="1:12" x14ac:dyDescent="0.35">
      <c r="A211" s="1" t="s">
        <v>83</v>
      </c>
      <c r="B211">
        <v>0.1</v>
      </c>
      <c r="C211">
        <v>0</v>
      </c>
      <c r="D211">
        <v>0</v>
      </c>
      <c r="E211">
        <v>172.62799999999999</v>
      </c>
      <c r="F211">
        <v>0</v>
      </c>
      <c r="G211">
        <v>103.69878</v>
      </c>
      <c r="I211">
        <f t="shared" si="12"/>
        <v>0</v>
      </c>
      <c r="J211">
        <f t="shared" si="13"/>
        <v>0</v>
      </c>
      <c r="K211">
        <f t="shared" si="14"/>
        <v>3454.9501450220296</v>
      </c>
      <c r="L211">
        <f t="shared" si="15"/>
        <v>0</v>
      </c>
    </row>
    <row r="212" spans="1:12" x14ac:dyDescent="0.35">
      <c r="A212" s="1" t="s">
        <v>83</v>
      </c>
      <c r="B212">
        <v>0.1</v>
      </c>
      <c r="C212">
        <v>0</v>
      </c>
      <c r="D212">
        <v>0</v>
      </c>
      <c r="E212">
        <v>172.62799999999999</v>
      </c>
      <c r="F212">
        <v>0</v>
      </c>
      <c r="G212">
        <f>0.1+103.69878</f>
        <v>103.79877999999999</v>
      </c>
      <c r="I212">
        <f t="shared" si="12"/>
        <v>0</v>
      </c>
      <c r="J212">
        <f t="shared" si="13"/>
        <v>0</v>
      </c>
      <c r="K212">
        <f t="shared" si="14"/>
        <v>3454.9501450220296</v>
      </c>
      <c r="L212">
        <f t="shared" si="15"/>
        <v>0</v>
      </c>
    </row>
    <row r="213" spans="1:12" x14ac:dyDescent="0.35">
      <c r="A213" s="1" t="s">
        <v>84</v>
      </c>
      <c r="B213">
        <v>0.21199999999999999</v>
      </c>
      <c r="C213">
        <v>0</v>
      </c>
      <c r="D213">
        <v>2.47240752</v>
      </c>
      <c r="E213">
        <v>0</v>
      </c>
      <c r="F213">
        <v>0</v>
      </c>
      <c r="G213">
        <v>104.08578</v>
      </c>
      <c r="I213">
        <f t="shared" si="12"/>
        <v>0</v>
      </c>
      <c r="J213">
        <f t="shared" si="13"/>
        <v>49.48238246273813</v>
      </c>
      <c r="K213">
        <f t="shared" si="14"/>
        <v>0</v>
      </c>
      <c r="L213">
        <f t="shared" si="15"/>
        <v>0</v>
      </c>
    </row>
    <row r="214" spans="1:12" x14ac:dyDescent="0.35">
      <c r="A214" s="1" t="s">
        <v>85</v>
      </c>
      <c r="B214">
        <v>0.16600000000000001</v>
      </c>
      <c r="C214">
        <v>0</v>
      </c>
      <c r="D214">
        <v>0</v>
      </c>
      <c r="E214">
        <v>-132.861086</v>
      </c>
      <c r="F214">
        <v>0</v>
      </c>
      <c r="G214">
        <v>104.85263</v>
      </c>
      <c r="I214">
        <f t="shared" si="12"/>
        <v>0</v>
      </c>
      <c r="J214">
        <f t="shared" si="13"/>
        <v>0</v>
      </c>
      <c r="K214">
        <f t="shared" si="14"/>
        <v>-2659.0612666744933</v>
      </c>
      <c r="L214">
        <f t="shared" si="15"/>
        <v>0</v>
      </c>
    </row>
    <row r="215" spans="1:12" x14ac:dyDescent="0.35">
      <c r="A215" s="1" t="s">
        <v>86</v>
      </c>
      <c r="B215">
        <v>0.21199999999999999</v>
      </c>
      <c r="C215">
        <v>0</v>
      </c>
      <c r="D215">
        <v>-2.3709669899999999</v>
      </c>
      <c r="E215">
        <v>0</v>
      </c>
      <c r="F215">
        <v>0</v>
      </c>
      <c r="G215">
        <v>105.13963</v>
      </c>
      <c r="I215">
        <f t="shared" si="12"/>
        <v>0</v>
      </c>
      <c r="J215">
        <f t="shared" si="13"/>
        <v>-47.452167353748784</v>
      </c>
      <c r="K215">
        <f t="shared" si="14"/>
        <v>0</v>
      </c>
      <c r="L215">
        <f t="shared" si="15"/>
        <v>0</v>
      </c>
    </row>
    <row r="216" spans="1:12" x14ac:dyDescent="0.35">
      <c r="A216" s="1" t="s">
        <v>48</v>
      </c>
      <c r="B216">
        <v>0.41782794400000001</v>
      </c>
      <c r="C216">
        <v>2.3392E-3</v>
      </c>
      <c r="D216">
        <v>0</v>
      </c>
      <c r="E216">
        <v>0</v>
      </c>
      <c r="F216">
        <v>0</v>
      </c>
      <c r="G216">
        <v>105.60446</v>
      </c>
      <c r="I216">
        <f t="shared" si="12"/>
        <v>0.11204704805350077</v>
      </c>
      <c r="J216">
        <f t="shared" si="13"/>
        <v>0</v>
      </c>
      <c r="K216">
        <f t="shared" si="14"/>
        <v>0</v>
      </c>
      <c r="L216">
        <f t="shared" si="15"/>
        <v>0</v>
      </c>
    </row>
    <row r="217" spans="1:12" x14ac:dyDescent="0.35">
      <c r="A217" s="1" t="s">
        <v>49</v>
      </c>
      <c r="B217">
        <v>0.41782808399999999</v>
      </c>
      <c r="C217">
        <v>3.2192000000000002E-3</v>
      </c>
      <c r="D217">
        <v>0</v>
      </c>
      <c r="E217">
        <v>0</v>
      </c>
      <c r="F217">
        <v>0</v>
      </c>
      <c r="G217">
        <v>106.02229</v>
      </c>
      <c r="I217">
        <f t="shared" si="12"/>
        <v>0.15419875865034546</v>
      </c>
      <c r="J217">
        <f t="shared" si="13"/>
        <v>0</v>
      </c>
      <c r="K217">
        <f t="shared" si="14"/>
        <v>0</v>
      </c>
      <c r="L217">
        <f t="shared" si="15"/>
        <v>0</v>
      </c>
    </row>
    <row r="218" spans="1:12" x14ac:dyDescent="0.35">
      <c r="A218" s="1" t="s">
        <v>50</v>
      </c>
      <c r="B218">
        <v>0.41782827500000003</v>
      </c>
      <c r="C218">
        <v>4.1392E-3</v>
      </c>
      <c r="D218">
        <v>0</v>
      </c>
      <c r="E218">
        <v>0</v>
      </c>
      <c r="F218">
        <v>0</v>
      </c>
      <c r="G218">
        <v>106.44011999999999</v>
      </c>
      <c r="I218">
        <f t="shared" si="12"/>
        <v>0.19826640470947862</v>
      </c>
      <c r="J218">
        <f t="shared" si="13"/>
        <v>0</v>
      </c>
      <c r="K218">
        <f t="shared" si="14"/>
        <v>0</v>
      </c>
      <c r="L218">
        <f t="shared" si="15"/>
        <v>0</v>
      </c>
    </row>
    <row r="219" spans="1:12" x14ac:dyDescent="0.35">
      <c r="A219" s="1" t="s">
        <v>51</v>
      </c>
      <c r="B219">
        <v>0.41782864199999997</v>
      </c>
      <c r="C219">
        <v>5.4992000000000001E-3</v>
      </c>
      <c r="D219">
        <v>0</v>
      </c>
      <c r="E219">
        <v>0</v>
      </c>
      <c r="F219">
        <v>0</v>
      </c>
      <c r="G219">
        <v>106.85794</v>
      </c>
      <c r="I219">
        <f t="shared" si="12"/>
        <v>0.26340975432619773</v>
      </c>
      <c r="J219">
        <f t="shared" si="13"/>
        <v>0</v>
      </c>
      <c r="K219">
        <f t="shared" si="14"/>
        <v>0</v>
      </c>
      <c r="L219">
        <f t="shared" si="15"/>
        <v>0</v>
      </c>
    </row>
    <row r="220" spans="1:12" x14ac:dyDescent="0.35">
      <c r="A220" s="1" t="s">
        <v>52</v>
      </c>
      <c r="B220">
        <v>0.41783028900000002</v>
      </c>
      <c r="C220">
        <v>9.4690999999999994E-3</v>
      </c>
      <c r="D220">
        <v>0</v>
      </c>
      <c r="E220">
        <v>0</v>
      </c>
      <c r="F220">
        <v>0</v>
      </c>
      <c r="G220">
        <v>107.27578</v>
      </c>
      <c r="I220">
        <f t="shared" si="12"/>
        <v>0.45356478630764774</v>
      </c>
      <c r="J220">
        <f t="shared" si="13"/>
        <v>0</v>
      </c>
      <c r="K220">
        <f t="shared" si="14"/>
        <v>0</v>
      </c>
      <c r="L220">
        <f t="shared" si="15"/>
        <v>0</v>
      </c>
    </row>
    <row r="221" spans="1:12" x14ac:dyDescent="0.35">
      <c r="A221" s="1" t="s">
        <v>87</v>
      </c>
      <c r="B221">
        <v>0.16200000000000001</v>
      </c>
      <c r="C221">
        <v>0</v>
      </c>
      <c r="D221">
        <v>-2.8698264299999998</v>
      </c>
      <c r="E221">
        <v>0</v>
      </c>
      <c r="F221">
        <v>0</v>
      </c>
      <c r="G221">
        <v>107.48478</v>
      </c>
      <c r="I221">
        <f t="shared" si="12"/>
        <v>0</v>
      </c>
      <c r="J221">
        <f t="shared" si="13"/>
        <v>-57.436263181619168</v>
      </c>
      <c r="K221">
        <f t="shared" si="14"/>
        <v>0</v>
      </c>
      <c r="L221">
        <f t="shared" si="15"/>
        <v>0</v>
      </c>
    </row>
    <row r="222" spans="1:12" x14ac:dyDescent="0.35">
      <c r="A222" s="1" t="s">
        <v>54</v>
      </c>
      <c r="B222">
        <v>0.1</v>
      </c>
      <c r="C222">
        <v>0</v>
      </c>
      <c r="D222">
        <v>0</v>
      </c>
      <c r="E222">
        <v>0</v>
      </c>
      <c r="F222">
        <v>0</v>
      </c>
      <c r="G222">
        <v>107.81478</v>
      </c>
      <c r="I222">
        <f t="shared" si="12"/>
        <v>0</v>
      </c>
      <c r="J222">
        <f t="shared" si="13"/>
        <v>0</v>
      </c>
      <c r="K222">
        <f t="shared" si="14"/>
        <v>0</v>
      </c>
      <c r="L222">
        <f t="shared" si="15"/>
        <v>0</v>
      </c>
    </row>
    <row r="223" spans="1:12" x14ac:dyDescent="0.35">
      <c r="A223" s="1" t="s">
        <v>88</v>
      </c>
      <c r="B223">
        <v>0.29499999999999998</v>
      </c>
      <c r="C223">
        <v>0</v>
      </c>
      <c r="D223">
        <v>2.43875777</v>
      </c>
      <c r="E223">
        <v>0</v>
      </c>
      <c r="F223">
        <v>0</v>
      </c>
      <c r="G223">
        <v>108.21978</v>
      </c>
      <c r="I223">
        <f t="shared" si="12"/>
        <v>0</v>
      </c>
      <c r="J223">
        <f t="shared" si="13"/>
        <v>48.808921560436907</v>
      </c>
      <c r="K223">
        <f t="shared" si="14"/>
        <v>0</v>
      </c>
      <c r="L223">
        <f t="shared" si="15"/>
        <v>0</v>
      </c>
    </row>
    <row r="224" spans="1:12" x14ac:dyDescent="0.35">
      <c r="A224" s="1" t="s">
        <v>56</v>
      </c>
      <c r="B224">
        <v>0.29499999999999998</v>
      </c>
      <c r="C224">
        <v>0</v>
      </c>
      <c r="D224">
        <v>2.43875777</v>
      </c>
      <c r="E224">
        <v>0</v>
      </c>
      <c r="F224">
        <v>0</v>
      </c>
      <c r="G224">
        <v>114.09293</v>
      </c>
      <c r="I224">
        <f t="shared" si="12"/>
        <v>0</v>
      </c>
      <c r="J224">
        <f t="shared" si="13"/>
        <v>48.808921560436907</v>
      </c>
      <c r="K224">
        <f t="shared" si="14"/>
        <v>0</v>
      </c>
      <c r="L224">
        <f t="shared" si="15"/>
        <v>0</v>
      </c>
    </row>
    <row r="225" spans="1:12" x14ac:dyDescent="0.35">
      <c r="A225" s="1" t="s">
        <v>2</v>
      </c>
      <c r="B225">
        <v>0.1</v>
      </c>
      <c r="C225">
        <v>0</v>
      </c>
      <c r="D225">
        <v>0</v>
      </c>
      <c r="E225">
        <v>0</v>
      </c>
      <c r="F225">
        <v>0</v>
      </c>
      <c r="G225">
        <v>114.30293</v>
      </c>
      <c r="I225">
        <f t="shared" si="12"/>
        <v>0</v>
      </c>
      <c r="J225">
        <f t="shared" si="13"/>
        <v>0</v>
      </c>
      <c r="K225">
        <f t="shared" si="14"/>
        <v>0</v>
      </c>
      <c r="L225">
        <f t="shared" si="15"/>
        <v>0</v>
      </c>
    </row>
    <row r="226" spans="1:12" x14ac:dyDescent="0.35">
      <c r="A226" s="1" t="s">
        <v>57</v>
      </c>
      <c r="B226">
        <v>0.16200000000000001</v>
      </c>
      <c r="C226">
        <v>0</v>
      </c>
      <c r="D226">
        <v>-2.8698264299999998</v>
      </c>
      <c r="E226">
        <v>0</v>
      </c>
      <c r="F226">
        <v>0</v>
      </c>
      <c r="G226">
        <v>114.69493</v>
      </c>
      <c r="I226">
        <f t="shared" si="12"/>
        <v>0</v>
      </c>
      <c r="J226">
        <f t="shared" si="13"/>
        <v>-57.436263181619168</v>
      </c>
      <c r="K226">
        <f t="shared" si="14"/>
        <v>0</v>
      </c>
      <c r="L226">
        <f t="shared" si="15"/>
        <v>0</v>
      </c>
    </row>
    <row r="227" spans="1:12" x14ac:dyDescent="0.35">
      <c r="A227" s="1" t="s">
        <v>58</v>
      </c>
      <c r="B227">
        <v>0.41783028900000002</v>
      </c>
      <c r="C227">
        <v>9.4690999999999994E-3</v>
      </c>
      <c r="D227">
        <v>0</v>
      </c>
      <c r="E227">
        <v>0</v>
      </c>
      <c r="F227">
        <v>0</v>
      </c>
      <c r="G227">
        <v>115.15976000000001</v>
      </c>
      <c r="I227">
        <f t="shared" si="12"/>
        <v>0.45356478630764774</v>
      </c>
      <c r="J227">
        <f t="shared" si="13"/>
        <v>0</v>
      </c>
      <c r="K227">
        <f t="shared" si="14"/>
        <v>0</v>
      </c>
      <c r="L227">
        <f t="shared" si="15"/>
        <v>0</v>
      </c>
    </row>
    <row r="228" spans="1:12" x14ac:dyDescent="0.35">
      <c r="A228" s="1" t="s">
        <v>59</v>
      </c>
      <c r="B228">
        <v>0.41782864199999997</v>
      </c>
      <c r="C228">
        <v>5.4992000000000001E-3</v>
      </c>
      <c r="D228">
        <v>0</v>
      </c>
      <c r="E228">
        <v>0</v>
      </c>
      <c r="F228">
        <v>0</v>
      </c>
      <c r="G228">
        <v>115.57759</v>
      </c>
      <c r="I228">
        <f t="shared" si="12"/>
        <v>0.26340975432619773</v>
      </c>
      <c r="J228">
        <f t="shared" si="13"/>
        <v>0</v>
      </c>
      <c r="K228">
        <f t="shared" si="14"/>
        <v>0</v>
      </c>
      <c r="L228">
        <f t="shared" si="15"/>
        <v>0</v>
      </c>
    </row>
    <row r="229" spans="1:12" x14ac:dyDescent="0.35">
      <c r="A229" s="1" t="s">
        <v>60</v>
      </c>
      <c r="B229">
        <v>0.41782827500000003</v>
      </c>
      <c r="C229">
        <v>4.1392E-3</v>
      </c>
      <c r="D229">
        <v>0</v>
      </c>
      <c r="E229">
        <v>0</v>
      </c>
      <c r="F229">
        <v>0</v>
      </c>
      <c r="G229">
        <v>115.99542</v>
      </c>
      <c r="I229">
        <f t="shared" si="12"/>
        <v>0.19826640470947862</v>
      </c>
      <c r="J229">
        <f t="shared" si="13"/>
        <v>0</v>
      </c>
      <c r="K229">
        <f t="shared" si="14"/>
        <v>0</v>
      </c>
      <c r="L229">
        <f t="shared" si="15"/>
        <v>0</v>
      </c>
    </row>
    <row r="230" spans="1:12" x14ac:dyDescent="0.35">
      <c r="A230" s="1" t="s">
        <v>61</v>
      </c>
      <c r="B230">
        <v>0.41782808399999999</v>
      </c>
      <c r="C230">
        <v>3.2192000000000002E-3</v>
      </c>
      <c r="D230">
        <v>0</v>
      </c>
      <c r="E230">
        <v>0</v>
      </c>
      <c r="F230">
        <v>0</v>
      </c>
      <c r="G230">
        <v>116.41324</v>
      </c>
      <c r="I230">
        <f t="shared" si="12"/>
        <v>0.15419875865034546</v>
      </c>
      <c r="J230">
        <f t="shared" si="13"/>
        <v>0</v>
      </c>
      <c r="K230">
        <f t="shared" si="14"/>
        <v>0</v>
      </c>
      <c r="L230">
        <f t="shared" si="15"/>
        <v>0</v>
      </c>
    </row>
    <row r="231" spans="1:12" x14ac:dyDescent="0.35">
      <c r="A231" s="1" t="s">
        <v>62</v>
      </c>
      <c r="B231">
        <v>0.41782794400000001</v>
      </c>
      <c r="C231">
        <v>2.3392E-3</v>
      </c>
      <c r="D231">
        <v>0</v>
      </c>
      <c r="E231">
        <v>0</v>
      </c>
      <c r="F231">
        <v>0</v>
      </c>
      <c r="G231">
        <v>116.83107</v>
      </c>
      <c r="I231">
        <f t="shared" si="12"/>
        <v>0.11204704805350077</v>
      </c>
      <c r="J231">
        <f t="shared" si="13"/>
        <v>0</v>
      </c>
      <c r="K231">
        <f t="shared" si="14"/>
        <v>0</v>
      </c>
      <c r="L231">
        <f t="shared" si="15"/>
        <v>0</v>
      </c>
    </row>
    <row r="232" spans="1:12" x14ac:dyDescent="0.35">
      <c r="A232" s="1" t="s">
        <v>63</v>
      </c>
      <c r="B232">
        <v>0.21199999999999999</v>
      </c>
      <c r="C232">
        <v>0</v>
      </c>
      <c r="D232">
        <v>-2.3709669899999999</v>
      </c>
      <c r="E232">
        <v>0</v>
      </c>
      <c r="F232">
        <v>0</v>
      </c>
      <c r="G232">
        <v>117.09007</v>
      </c>
      <c r="I232">
        <f t="shared" si="12"/>
        <v>0</v>
      </c>
      <c r="J232">
        <f t="shared" si="13"/>
        <v>-47.452167353748784</v>
      </c>
      <c r="K232">
        <f t="shared" si="14"/>
        <v>0</v>
      </c>
      <c r="L232">
        <f t="shared" si="15"/>
        <v>0</v>
      </c>
    </row>
    <row r="233" spans="1:12" x14ac:dyDescent="0.35">
      <c r="A233" s="1" t="s">
        <v>64</v>
      </c>
      <c r="B233">
        <v>0.16600000000000001</v>
      </c>
      <c r="C233">
        <v>0</v>
      </c>
      <c r="D233">
        <v>0</v>
      </c>
      <c r="E233">
        <v>-132.861086</v>
      </c>
      <c r="F233">
        <v>0</v>
      </c>
      <c r="G233">
        <v>117.33107</v>
      </c>
      <c r="I233">
        <f t="shared" si="12"/>
        <v>0</v>
      </c>
      <c r="J233">
        <f t="shared" si="13"/>
        <v>0</v>
      </c>
      <c r="K233">
        <f t="shared" si="14"/>
        <v>-2659.0612666744933</v>
      </c>
      <c r="L233">
        <f t="shared" si="15"/>
        <v>0</v>
      </c>
    </row>
    <row r="234" spans="1:12" x14ac:dyDescent="0.35">
      <c r="A234" s="1" t="s">
        <v>65</v>
      </c>
      <c r="B234">
        <v>0.21199999999999999</v>
      </c>
      <c r="C234">
        <v>0</v>
      </c>
      <c r="D234">
        <v>2.47240752</v>
      </c>
      <c r="E234">
        <v>0</v>
      </c>
      <c r="F234">
        <v>0</v>
      </c>
      <c r="G234">
        <v>118.14391999999999</v>
      </c>
      <c r="I234">
        <f t="shared" si="12"/>
        <v>0</v>
      </c>
      <c r="J234">
        <f t="shared" si="13"/>
        <v>49.48238246273813</v>
      </c>
      <c r="K234">
        <f t="shared" si="14"/>
        <v>0</v>
      </c>
      <c r="L234">
        <f t="shared" si="15"/>
        <v>0</v>
      </c>
    </row>
    <row r="235" spans="1:12" x14ac:dyDescent="0.35">
      <c r="A235" s="1" t="s">
        <v>66</v>
      </c>
      <c r="B235">
        <v>0.1</v>
      </c>
      <c r="C235">
        <v>0</v>
      </c>
      <c r="D235">
        <v>0</v>
      </c>
      <c r="E235">
        <v>172.62799999999999</v>
      </c>
      <c r="F235">
        <v>0</v>
      </c>
      <c r="G235">
        <v>118.31892000000001</v>
      </c>
      <c r="I235">
        <f t="shared" si="12"/>
        <v>0</v>
      </c>
      <c r="J235">
        <f t="shared" si="13"/>
        <v>0</v>
      </c>
      <c r="K235">
        <f t="shared" si="14"/>
        <v>3454.9501450220296</v>
      </c>
      <c r="L235">
        <f t="shared" si="15"/>
        <v>0</v>
      </c>
    </row>
    <row r="236" spans="1:12" x14ac:dyDescent="0.35">
      <c r="A236" s="1" t="s">
        <v>66</v>
      </c>
      <c r="B236">
        <v>0.1</v>
      </c>
      <c r="C236">
        <v>0</v>
      </c>
      <c r="D236">
        <v>0</v>
      </c>
      <c r="E236">
        <v>172.62799999999999</v>
      </c>
      <c r="F236">
        <v>0</v>
      </c>
      <c r="G236">
        <f>118.31892+0.1</f>
        <v>118.41892</v>
      </c>
      <c r="I236">
        <f t="shared" si="12"/>
        <v>0</v>
      </c>
      <c r="J236">
        <f t="shared" si="13"/>
        <v>0</v>
      </c>
      <c r="K236">
        <f t="shared" si="14"/>
        <v>3454.9501450220296</v>
      </c>
      <c r="L236">
        <f t="shared" si="15"/>
        <v>0</v>
      </c>
    </row>
    <row r="237" spans="1:12" x14ac:dyDescent="0.35">
      <c r="A237" s="1" t="s">
        <v>67</v>
      </c>
      <c r="B237">
        <v>0.21199999999999999</v>
      </c>
      <c r="C237">
        <v>0</v>
      </c>
      <c r="D237">
        <v>2.47240752</v>
      </c>
      <c r="E237">
        <v>0</v>
      </c>
      <c r="F237">
        <v>0</v>
      </c>
      <c r="G237">
        <v>118.70592000000001</v>
      </c>
      <c r="I237">
        <f t="shared" si="12"/>
        <v>0</v>
      </c>
      <c r="J237">
        <f t="shared" si="13"/>
        <v>49.48238246273813</v>
      </c>
      <c r="K237">
        <f t="shared" si="14"/>
        <v>0</v>
      </c>
      <c r="L237">
        <f t="shared" si="15"/>
        <v>0</v>
      </c>
    </row>
    <row r="238" spans="1:12" x14ac:dyDescent="0.35">
      <c r="A238" s="1" t="s">
        <v>68</v>
      </c>
      <c r="B238">
        <v>0.09</v>
      </c>
      <c r="C238">
        <v>0</v>
      </c>
      <c r="D238">
        <v>0</v>
      </c>
      <c r="E238">
        <v>0</v>
      </c>
      <c r="F238">
        <v>-13632</v>
      </c>
      <c r="G238">
        <v>118.85592</v>
      </c>
      <c r="I238">
        <f t="shared" si="12"/>
        <v>0</v>
      </c>
      <c r="J238">
        <f t="shared" si="13"/>
        <v>0</v>
      </c>
      <c r="K238">
        <f t="shared" si="14"/>
        <v>0</v>
      </c>
      <c r="L238">
        <f t="shared" si="15"/>
        <v>-272828.74375501258</v>
      </c>
    </row>
    <row r="239" spans="1:12" x14ac:dyDescent="0.35">
      <c r="A239" s="1" t="s">
        <v>69</v>
      </c>
      <c r="B239">
        <v>0.16600000000000001</v>
      </c>
      <c r="C239">
        <v>0</v>
      </c>
      <c r="D239">
        <v>0</v>
      </c>
      <c r="E239">
        <v>-202.23429300000001</v>
      </c>
      <c r="F239">
        <v>0</v>
      </c>
      <c r="G239">
        <v>119.47278</v>
      </c>
      <c r="I239">
        <f t="shared" si="12"/>
        <v>0</v>
      </c>
      <c r="J239">
        <f t="shared" si="13"/>
        <v>0</v>
      </c>
      <c r="K239">
        <f t="shared" si="14"/>
        <v>-4047.4859230760812</v>
      </c>
      <c r="L239">
        <f t="shared" si="15"/>
        <v>0</v>
      </c>
    </row>
    <row r="240" spans="1:12" x14ac:dyDescent="0.35">
      <c r="A240" s="1" t="s">
        <v>70</v>
      </c>
      <c r="B240">
        <v>0.21199999999999999</v>
      </c>
      <c r="C240">
        <v>0</v>
      </c>
      <c r="D240">
        <v>-2.53358734</v>
      </c>
      <c r="E240">
        <v>0</v>
      </c>
      <c r="F240">
        <v>0</v>
      </c>
      <c r="G240">
        <v>119.75978000000001</v>
      </c>
      <c r="I240">
        <f t="shared" si="12"/>
        <v>0</v>
      </c>
      <c r="J240">
        <f t="shared" si="13"/>
        <v>-50.706825936458621</v>
      </c>
      <c r="K240">
        <f t="shared" si="14"/>
        <v>0</v>
      </c>
      <c r="L240">
        <f t="shared" si="15"/>
        <v>0</v>
      </c>
    </row>
    <row r="241" spans="1:12" x14ac:dyDescent="0.35">
      <c r="A241" s="1" t="s">
        <v>20</v>
      </c>
      <c r="B241">
        <v>0.41782794400000001</v>
      </c>
      <c r="C241">
        <v>2.3392E-3</v>
      </c>
      <c r="D241">
        <v>0</v>
      </c>
      <c r="E241">
        <v>0</v>
      </c>
      <c r="F241">
        <v>0</v>
      </c>
      <c r="G241">
        <v>120.22461</v>
      </c>
      <c r="I241">
        <f t="shared" si="12"/>
        <v>0.11204704805350077</v>
      </c>
      <c r="J241">
        <f t="shared" si="13"/>
        <v>0</v>
      </c>
      <c r="K241">
        <f t="shared" si="14"/>
        <v>0</v>
      </c>
      <c r="L241">
        <f t="shared" si="15"/>
        <v>0</v>
      </c>
    </row>
    <row r="242" spans="1:12" x14ac:dyDescent="0.35">
      <c r="A242" s="1" t="s">
        <v>21</v>
      </c>
      <c r="B242">
        <v>0.41782808399999999</v>
      </c>
      <c r="C242">
        <v>3.2192000000000002E-3</v>
      </c>
      <c r="D242">
        <v>0</v>
      </c>
      <c r="E242">
        <v>0</v>
      </c>
      <c r="F242">
        <v>0</v>
      </c>
      <c r="G242">
        <v>120.64243</v>
      </c>
      <c r="I242">
        <f t="shared" si="12"/>
        <v>0.15419875865034546</v>
      </c>
      <c r="J242">
        <f t="shared" si="13"/>
        <v>0</v>
      </c>
      <c r="K242">
        <f t="shared" si="14"/>
        <v>0</v>
      </c>
      <c r="L242">
        <f t="shared" si="15"/>
        <v>0</v>
      </c>
    </row>
    <row r="243" spans="1:12" x14ac:dyDescent="0.35">
      <c r="A243" s="1" t="s">
        <v>22</v>
      </c>
      <c r="B243">
        <v>0.41782827500000003</v>
      </c>
      <c r="C243">
        <v>4.1392E-3</v>
      </c>
      <c r="D243">
        <v>0</v>
      </c>
      <c r="E243">
        <v>0</v>
      </c>
      <c r="F243">
        <v>0</v>
      </c>
      <c r="G243">
        <v>121.06026</v>
      </c>
      <c r="I243">
        <f t="shared" si="12"/>
        <v>0.19826640470947862</v>
      </c>
      <c r="J243">
        <f t="shared" si="13"/>
        <v>0</v>
      </c>
      <c r="K243">
        <f t="shared" si="14"/>
        <v>0</v>
      </c>
      <c r="L243">
        <f t="shared" si="15"/>
        <v>0</v>
      </c>
    </row>
    <row r="244" spans="1:12" x14ac:dyDescent="0.35">
      <c r="A244" s="1" t="s">
        <v>23</v>
      </c>
      <c r="B244">
        <v>0.41782864199999997</v>
      </c>
      <c r="C244">
        <v>5.4992000000000001E-3</v>
      </c>
      <c r="D244">
        <v>0</v>
      </c>
      <c r="E244">
        <v>0</v>
      </c>
      <c r="F244">
        <v>0</v>
      </c>
      <c r="G244">
        <v>121.47808999999999</v>
      </c>
      <c r="I244">
        <f t="shared" si="12"/>
        <v>0.26340975432619773</v>
      </c>
      <c r="J244">
        <f t="shared" si="13"/>
        <v>0</v>
      </c>
      <c r="K244">
        <f t="shared" si="14"/>
        <v>0</v>
      </c>
      <c r="L244">
        <f t="shared" si="15"/>
        <v>0</v>
      </c>
    </row>
    <row r="245" spans="1:12" x14ac:dyDescent="0.35">
      <c r="A245" s="1" t="s">
        <v>24</v>
      </c>
      <c r="B245">
        <v>0.41782941899999998</v>
      </c>
      <c r="C245">
        <v>7.6290999999999998E-3</v>
      </c>
      <c r="D245">
        <v>0</v>
      </c>
      <c r="E245">
        <v>0</v>
      </c>
      <c r="F245">
        <v>0</v>
      </c>
      <c r="G245">
        <v>121.89592</v>
      </c>
      <c r="I245">
        <f t="shared" si="12"/>
        <v>0.36543053893202671</v>
      </c>
      <c r="J245">
        <f t="shared" si="13"/>
        <v>0</v>
      </c>
      <c r="K245">
        <f t="shared" si="14"/>
        <v>0</v>
      </c>
      <c r="L245">
        <f t="shared" si="15"/>
        <v>0</v>
      </c>
    </row>
    <row r="246" spans="1:12" x14ac:dyDescent="0.35">
      <c r="A246" s="1" t="s">
        <v>71</v>
      </c>
      <c r="B246">
        <v>0.3745</v>
      </c>
      <c r="C246">
        <v>0</v>
      </c>
      <c r="D246">
        <v>4.5116622</v>
      </c>
      <c r="E246">
        <v>0</v>
      </c>
      <c r="F246">
        <v>0</v>
      </c>
      <c r="G246">
        <v>122.42041999999999</v>
      </c>
      <c r="I246">
        <f t="shared" si="12"/>
        <v>0</v>
      </c>
      <c r="J246">
        <f t="shared" si="13"/>
        <v>90.29571084748946</v>
      </c>
      <c r="K246">
        <f t="shared" si="14"/>
        <v>0</v>
      </c>
      <c r="L246">
        <f t="shared" si="15"/>
        <v>0</v>
      </c>
    </row>
    <row r="247" spans="1:12" x14ac:dyDescent="0.35">
      <c r="A247" s="1" t="s">
        <v>72</v>
      </c>
      <c r="B247">
        <v>1.0280365199999999</v>
      </c>
      <c r="C247">
        <v>2.4767999999999998E-2</v>
      </c>
      <c r="D247">
        <v>-1.929</v>
      </c>
      <c r="E247">
        <v>0</v>
      </c>
      <c r="F247">
        <v>0</v>
      </c>
      <c r="G247">
        <v>123.53846</v>
      </c>
      <c r="I247">
        <f t="shared" si="12"/>
        <v>0.48218416286837618</v>
      </c>
      <c r="J247">
        <f t="shared" si="13"/>
        <v>-38.606708238220314</v>
      </c>
      <c r="K247">
        <f t="shared" si="14"/>
        <v>0</v>
      </c>
      <c r="L247">
        <f t="shared" si="15"/>
        <v>0</v>
      </c>
    </row>
    <row r="248" spans="1:12" x14ac:dyDescent="0.35">
      <c r="A248" s="1" t="s">
        <v>73</v>
      </c>
      <c r="B248">
        <v>0.4975</v>
      </c>
      <c r="C248">
        <v>0</v>
      </c>
      <c r="D248">
        <v>4.61414189</v>
      </c>
      <c r="E248">
        <v>0</v>
      </c>
      <c r="F248">
        <v>0</v>
      </c>
      <c r="G248">
        <v>124.12596000000001</v>
      </c>
      <c r="I248">
        <f t="shared" si="12"/>
        <v>0</v>
      </c>
      <c r="J248">
        <f t="shared" si="13"/>
        <v>92.346723544313335</v>
      </c>
      <c r="K248">
        <f t="shared" si="14"/>
        <v>0</v>
      </c>
      <c r="L248">
        <f t="shared" si="15"/>
        <v>0</v>
      </c>
    </row>
    <row r="249" spans="1:12" x14ac:dyDescent="0.35">
      <c r="A249" s="1" t="s">
        <v>28</v>
      </c>
      <c r="B249">
        <v>0.1</v>
      </c>
      <c r="C249">
        <v>0</v>
      </c>
      <c r="D249">
        <v>0</v>
      </c>
      <c r="E249">
        <v>0</v>
      </c>
      <c r="F249">
        <v>0</v>
      </c>
      <c r="G249">
        <v>124.29703000000001</v>
      </c>
      <c r="I249">
        <f t="shared" si="12"/>
        <v>0</v>
      </c>
      <c r="J249">
        <f t="shared" si="13"/>
        <v>0</v>
      </c>
      <c r="K249">
        <f t="shared" si="14"/>
        <v>0</v>
      </c>
      <c r="L249">
        <f t="shared" si="15"/>
        <v>0</v>
      </c>
    </row>
    <row r="250" spans="1:12" x14ac:dyDescent="0.35">
      <c r="A250" s="1" t="s">
        <v>74</v>
      </c>
      <c r="B250">
        <v>0.40000102700000001</v>
      </c>
      <c r="C250">
        <v>5.2300999999999997E-3</v>
      </c>
      <c r="D250">
        <v>-1.5815999999999999</v>
      </c>
      <c r="E250">
        <v>0</v>
      </c>
      <c r="F250">
        <v>0</v>
      </c>
      <c r="G250">
        <v>124.79003</v>
      </c>
      <c r="I250">
        <f t="shared" si="12"/>
        <v>0.26168536331815889</v>
      </c>
      <c r="J250">
        <f t="shared" si="13"/>
        <v>-31.653898263125576</v>
      </c>
      <c r="K250">
        <f t="shared" si="14"/>
        <v>0</v>
      </c>
      <c r="L250">
        <f t="shared" si="15"/>
        <v>0</v>
      </c>
    </row>
    <row r="251" spans="1:12" x14ac:dyDescent="0.35">
      <c r="A251" s="1" t="s">
        <v>30</v>
      </c>
      <c r="B251">
        <v>2.44294E-2</v>
      </c>
      <c r="C251">
        <v>1.0499000000000001E-3</v>
      </c>
      <c r="D251">
        <v>0</v>
      </c>
      <c r="E251">
        <v>0</v>
      </c>
      <c r="F251">
        <v>0</v>
      </c>
      <c r="G251">
        <v>124.88496000000001</v>
      </c>
      <c r="I251">
        <f t="shared" si="12"/>
        <v>0.8601331402616047</v>
      </c>
      <c r="J251">
        <f t="shared" si="13"/>
        <v>0</v>
      </c>
      <c r="K251">
        <f t="shared" si="14"/>
        <v>0</v>
      </c>
      <c r="L251">
        <f t="shared" si="15"/>
        <v>0</v>
      </c>
    </row>
    <row r="252" spans="1:12" x14ac:dyDescent="0.35">
      <c r="A252" s="1" t="s">
        <v>30</v>
      </c>
      <c r="B252">
        <v>2.44294E-2</v>
      </c>
      <c r="C252">
        <v>1.0499000000000001E-3</v>
      </c>
      <c r="D252">
        <v>0</v>
      </c>
      <c r="E252">
        <v>0</v>
      </c>
      <c r="F252">
        <v>0</v>
      </c>
      <c r="G252">
        <f>124.88496+0.0244294</f>
        <v>124.90938940000001</v>
      </c>
      <c r="I252">
        <f t="shared" si="12"/>
        <v>0.8601331402616047</v>
      </c>
      <c r="J252">
        <f t="shared" si="13"/>
        <v>0</v>
      </c>
      <c r="K252">
        <f t="shared" si="14"/>
        <v>0</v>
      </c>
      <c r="L252">
        <f t="shared" si="15"/>
        <v>0</v>
      </c>
    </row>
    <row r="253" spans="1:12" x14ac:dyDescent="0.35">
      <c r="A253" s="1" t="s">
        <v>75</v>
      </c>
      <c r="B253">
        <v>0.40000102700000001</v>
      </c>
      <c r="C253">
        <v>5.2300999999999997E-3</v>
      </c>
      <c r="D253">
        <v>-1.5815999999999999</v>
      </c>
      <c r="E253">
        <v>0</v>
      </c>
      <c r="F253">
        <v>0</v>
      </c>
      <c r="G253">
        <v>125.37989</v>
      </c>
      <c r="I253">
        <f t="shared" si="12"/>
        <v>0.26168536331815889</v>
      </c>
      <c r="J253">
        <f t="shared" si="13"/>
        <v>-31.653898263125576</v>
      </c>
      <c r="K253">
        <f t="shared" si="14"/>
        <v>0</v>
      </c>
      <c r="L253">
        <f t="shared" si="15"/>
        <v>0</v>
      </c>
    </row>
    <row r="254" spans="1:12" x14ac:dyDescent="0.35">
      <c r="A254" s="1" t="s">
        <v>76</v>
      </c>
      <c r="B254">
        <v>0.4975</v>
      </c>
      <c r="C254">
        <v>0</v>
      </c>
      <c r="D254">
        <v>4.61414189</v>
      </c>
      <c r="E254">
        <v>0</v>
      </c>
      <c r="F254">
        <v>0</v>
      </c>
      <c r="G254">
        <v>126.14146</v>
      </c>
      <c r="I254">
        <f t="shared" si="12"/>
        <v>0</v>
      </c>
      <c r="J254">
        <f t="shared" si="13"/>
        <v>92.346723544313335</v>
      </c>
      <c r="K254">
        <f t="shared" si="14"/>
        <v>0</v>
      </c>
      <c r="L254">
        <f t="shared" si="15"/>
        <v>0</v>
      </c>
    </row>
    <row r="255" spans="1:12" x14ac:dyDescent="0.35">
      <c r="A255" s="1" t="s">
        <v>77</v>
      </c>
      <c r="B255">
        <v>1.0280365199999999</v>
      </c>
      <c r="C255">
        <v>2.4767999999999998E-2</v>
      </c>
      <c r="D255">
        <v>-1.929</v>
      </c>
      <c r="E255">
        <v>0</v>
      </c>
      <c r="F255">
        <v>0</v>
      </c>
      <c r="G255">
        <v>127.2595</v>
      </c>
      <c r="I255">
        <f t="shared" si="12"/>
        <v>0.48218416286837618</v>
      </c>
      <c r="J255">
        <f t="shared" si="13"/>
        <v>-38.606708238220314</v>
      </c>
      <c r="K255">
        <f t="shared" si="14"/>
        <v>0</v>
      </c>
      <c r="L255">
        <f t="shared" si="15"/>
        <v>0</v>
      </c>
    </row>
    <row r="256" spans="1:12" x14ac:dyDescent="0.35">
      <c r="A256" s="1" t="s">
        <v>78</v>
      </c>
      <c r="B256">
        <v>0.3745</v>
      </c>
      <c r="C256">
        <v>0</v>
      </c>
      <c r="D256">
        <v>4.5116622</v>
      </c>
      <c r="E256">
        <v>0</v>
      </c>
      <c r="F256">
        <v>0</v>
      </c>
      <c r="G256">
        <v>127.724</v>
      </c>
      <c r="I256">
        <f t="shared" si="12"/>
        <v>0</v>
      </c>
      <c r="J256">
        <f t="shared" si="13"/>
        <v>90.29571084748946</v>
      </c>
      <c r="K256">
        <f t="shared" si="14"/>
        <v>0</v>
      </c>
      <c r="L256">
        <f t="shared" si="15"/>
        <v>0</v>
      </c>
    </row>
    <row r="257" spans="1:12" x14ac:dyDescent="0.35">
      <c r="A257" s="1" t="s">
        <v>35</v>
      </c>
      <c r="B257">
        <v>0.41782941899999998</v>
      </c>
      <c r="C257">
        <v>7.6290999999999998E-3</v>
      </c>
      <c r="D257">
        <v>0</v>
      </c>
      <c r="E257">
        <v>0</v>
      </c>
      <c r="F257">
        <v>0</v>
      </c>
      <c r="G257">
        <v>128.29182</v>
      </c>
      <c r="I257">
        <f t="shared" si="12"/>
        <v>0.36543053893202671</v>
      </c>
      <c r="J257">
        <f t="shared" si="13"/>
        <v>0</v>
      </c>
      <c r="K257">
        <f t="shared" si="14"/>
        <v>0</v>
      </c>
      <c r="L257">
        <f t="shared" si="15"/>
        <v>0</v>
      </c>
    </row>
    <row r="258" spans="1:12" x14ac:dyDescent="0.35">
      <c r="A258" s="1" t="s">
        <v>36</v>
      </c>
      <c r="B258">
        <v>0.41782864199999997</v>
      </c>
      <c r="C258">
        <v>5.4992000000000001E-3</v>
      </c>
      <c r="D258">
        <v>0</v>
      </c>
      <c r="E258">
        <v>0</v>
      </c>
      <c r="F258">
        <v>0</v>
      </c>
      <c r="G258">
        <v>128.70965000000001</v>
      </c>
      <c r="I258">
        <f t="shared" si="12"/>
        <v>0.26340975432619773</v>
      </c>
      <c r="J258">
        <f t="shared" si="13"/>
        <v>0</v>
      </c>
      <c r="K258">
        <f t="shared" si="14"/>
        <v>0</v>
      </c>
      <c r="L258">
        <f t="shared" si="15"/>
        <v>0</v>
      </c>
    </row>
    <row r="259" spans="1:12" x14ac:dyDescent="0.35">
      <c r="A259" s="1" t="s">
        <v>37</v>
      </c>
      <c r="B259">
        <v>0.41782827500000003</v>
      </c>
      <c r="C259">
        <v>4.1392E-3</v>
      </c>
      <c r="D259">
        <v>0</v>
      </c>
      <c r="E259">
        <v>0</v>
      </c>
      <c r="F259">
        <v>0</v>
      </c>
      <c r="G259">
        <v>129.12747999999999</v>
      </c>
      <c r="I259">
        <f t="shared" si="12"/>
        <v>0.19826640470947862</v>
      </c>
      <c r="J259">
        <f t="shared" si="13"/>
        <v>0</v>
      </c>
      <c r="K259">
        <f t="shared" si="14"/>
        <v>0</v>
      </c>
      <c r="L259">
        <f t="shared" si="15"/>
        <v>0</v>
      </c>
    </row>
    <row r="260" spans="1:12" x14ac:dyDescent="0.35">
      <c r="A260" s="1" t="s">
        <v>38</v>
      </c>
      <c r="B260">
        <v>0.41782808399999999</v>
      </c>
      <c r="C260">
        <v>3.2192000000000002E-3</v>
      </c>
      <c r="D260">
        <v>0</v>
      </c>
      <c r="E260">
        <v>0</v>
      </c>
      <c r="F260">
        <v>0</v>
      </c>
      <c r="G260">
        <v>129.54531</v>
      </c>
      <c r="I260">
        <f t="shared" ref="I260:I323" si="16">$H$2*$C260/$B260</f>
        <v>0.15419875865034546</v>
      </c>
      <c r="J260">
        <f t="shared" ref="J260:J323" si="17">$H$2*$D260</f>
        <v>0</v>
      </c>
      <c r="K260">
        <f t="shared" ref="K260:K323" si="18">$H$2*$E260</f>
        <v>0</v>
      </c>
      <c r="L260">
        <f t="shared" ref="L260:L323" si="19">$H$2*$F260</f>
        <v>0</v>
      </c>
    </row>
    <row r="261" spans="1:12" x14ac:dyDescent="0.35">
      <c r="A261" s="1" t="s">
        <v>39</v>
      </c>
      <c r="B261">
        <v>0.41782794400000001</v>
      </c>
      <c r="C261">
        <v>2.3392E-3</v>
      </c>
      <c r="D261">
        <v>0</v>
      </c>
      <c r="E261">
        <v>0</v>
      </c>
      <c r="F261">
        <v>0</v>
      </c>
      <c r="G261">
        <v>129.96314000000001</v>
      </c>
      <c r="I261">
        <f t="shared" si="16"/>
        <v>0.11204704805350077</v>
      </c>
      <c r="J261">
        <f t="shared" si="17"/>
        <v>0</v>
      </c>
      <c r="K261">
        <f t="shared" si="18"/>
        <v>0</v>
      </c>
      <c r="L261">
        <f t="shared" si="19"/>
        <v>0</v>
      </c>
    </row>
    <row r="262" spans="1:12" x14ac:dyDescent="0.35">
      <c r="A262" s="1" t="s">
        <v>79</v>
      </c>
      <c r="B262">
        <v>0.21199999999999999</v>
      </c>
      <c r="C262">
        <v>0</v>
      </c>
      <c r="D262">
        <v>-2.53358734</v>
      </c>
      <c r="E262">
        <v>0</v>
      </c>
      <c r="F262">
        <v>0</v>
      </c>
      <c r="G262">
        <v>130.22214</v>
      </c>
      <c r="I262">
        <f t="shared" si="16"/>
        <v>0</v>
      </c>
      <c r="J262">
        <f t="shared" si="17"/>
        <v>-50.706825936458621</v>
      </c>
      <c r="K262">
        <f t="shared" si="18"/>
        <v>0</v>
      </c>
      <c r="L262">
        <f t="shared" si="19"/>
        <v>0</v>
      </c>
    </row>
    <row r="263" spans="1:12" x14ac:dyDescent="0.35">
      <c r="A263" s="1" t="s">
        <v>80</v>
      </c>
      <c r="B263">
        <v>0.16600000000000001</v>
      </c>
      <c r="C263">
        <v>0</v>
      </c>
      <c r="D263">
        <v>0</v>
      </c>
      <c r="E263">
        <v>-202.23429300000001</v>
      </c>
      <c r="F263">
        <v>0</v>
      </c>
      <c r="G263">
        <v>130.46314000000001</v>
      </c>
      <c r="I263">
        <f t="shared" si="16"/>
        <v>0</v>
      </c>
      <c r="J263">
        <f t="shared" si="17"/>
        <v>0</v>
      </c>
      <c r="K263">
        <f t="shared" si="18"/>
        <v>-4047.4859230760812</v>
      </c>
      <c r="L263">
        <f t="shared" si="19"/>
        <v>0</v>
      </c>
    </row>
    <row r="264" spans="1:12" x14ac:dyDescent="0.35">
      <c r="A264" s="1" t="s">
        <v>81</v>
      </c>
      <c r="B264">
        <v>0.09</v>
      </c>
      <c r="C264">
        <v>0</v>
      </c>
      <c r="D264">
        <v>0</v>
      </c>
      <c r="E264">
        <v>0</v>
      </c>
      <c r="F264">
        <v>-13632</v>
      </c>
      <c r="G264">
        <v>131.00398999999999</v>
      </c>
      <c r="I264">
        <f t="shared" si="16"/>
        <v>0</v>
      </c>
      <c r="J264">
        <f t="shared" si="17"/>
        <v>0</v>
      </c>
      <c r="K264">
        <f t="shared" si="18"/>
        <v>0</v>
      </c>
      <c r="L264">
        <f t="shared" si="19"/>
        <v>-272828.74375501258</v>
      </c>
    </row>
    <row r="265" spans="1:12" x14ac:dyDescent="0.35">
      <c r="A265" s="1" t="s">
        <v>82</v>
      </c>
      <c r="B265">
        <v>0.21199999999999999</v>
      </c>
      <c r="C265">
        <v>0</v>
      </c>
      <c r="D265">
        <v>2.47240752</v>
      </c>
      <c r="E265">
        <v>0</v>
      </c>
      <c r="F265">
        <v>0</v>
      </c>
      <c r="G265">
        <v>131.27599000000001</v>
      </c>
      <c r="I265">
        <f t="shared" si="16"/>
        <v>0</v>
      </c>
      <c r="J265">
        <f t="shared" si="17"/>
        <v>49.48238246273813</v>
      </c>
      <c r="K265">
        <f t="shared" si="18"/>
        <v>0</v>
      </c>
      <c r="L265">
        <f t="shared" si="19"/>
        <v>0</v>
      </c>
    </row>
    <row r="266" spans="1:12" x14ac:dyDescent="0.35">
      <c r="A266" s="1" t="s">
        <v>83</v>
      </c>
      <c r="B266">
        <v>0.1</v>
      </c>
      <c r="C266">
        <v>0</v>
      </c>
      <c r="D266">
        <v>0</v>
      </c>
      <c r="E266">
        <v>172.62799999999999</v>
      </c>
      <c r="F266">
        <v>0</v>
      </c>
      <c r="G266">
        <v>131.45098999999999</v>
      </c>
      <c r="I266">
        <f t="shared" si="16"/>
        <v>0</v>
      </c>
      <c r="J266">
        <f t="shared" si="17"/>
        <v>0</v>
      </c>
      <c r="K266">
        <f t="shared" si="18"/>
        <v>3454.9501450220296</v>
      </c>
      <c r="L266">
        <f t="shared" si="19"/>
        <v>0</v>
      </c>
    </row>
    <row r="267" spans="1:12" x14ac:dyDescent="0.35">
      <c r="A267" s="1" t="s">
        <v>83</v>
      </c>
      <c r="B267">
        <v>0.1</v>
      </c>
      <c r="C267">
        <v>0</v>
      </c>
      <c r="D267">
        <v>0</v>
      </c>
      <c r="E267">
        <v>172.62799999999999</v>
      </c>
      <c r="F267">
        <v>0</v>
      </c>
      <c r="G267">
        <f>0.1+131.45099</f>
        <v>131.55098999999998</v>
      </c>
      <c r="I267">
        <f t="shared" si="16"/>
        <v>0</v>
      </c>
      <c r="J267">
        <f t="shared" si="17"/>
        <v>0</v>
      </c>
      <c r="K267">
        <f t="shared" si="18"/>
        <v>3454.9501450220296</v>
      </c>
      <c r="L267">
        <f t="shared" si="19"/>
        <v>0</v>
      </c>
    </row>
    <row r="268" spans="1:12" x14ac:dyDescent="0.35">
      <c r="A268" s="1" t="s">
        <v>84</v>
      </c>
      <c r="B268">
        <v>0.21199999999999999</v>
      </c>
      <c r="C268">
        <v>0</v>
      </c>
      <c r="D268">
        <v>2.47240752</v>
      </c>
      <c r="E268">
        <v>0</v>
      </c>
      <c r="F268">
        <v>0</v>
      </c>
      <c r="G268">
        <v>131.83798999999999</v>
      </c>
      <c r="I268">
        <f t="shared" si="16"/>
        <v>0</v>
      </c>
      <c r="J268">
        <f t="shared" si="17"/>
        <v>49.48238246273813</v>
      </c>
      <c r="K268">
        <f t="shared" si="18"/>
        <v>0</v>
      </c>
      <c r="L268">
        <f t="shared" si="19"/>
        <v>0</v>
      </c>
    </row>
    <row r="269" spans="1:12" x14ac:dyDescent="0.35">
      <c r="A269" s="1" t="s">
        <v>85</v>
      </c>
      <c r="B269">
        <v>0.16600000000000001</v>
      </c>
      <c r="C269">
        <v>0</v>
      </c>
      <c r="D269">
        <v>0</v>
      </c>
      <c r="E269">
        <v>-132.861086</v>
      </c>
      <c r="F269">
        <v>0</v>
      </c>
      <c r="G269">
        <v>132.60484</v>
      </c>
      <c r="I269">
        <f t="shared" si="16"/>
        <v>0</v>
      </c>
      <c r="J269">
        <f t="shared" si="17"/>
        <v>0</v>
      </c>
      <c r="K269">
        <f t="shared" si="18"/>
        <v>-2659.0612666744933</v>
      </c>
      <c r="L269">
        <f t="shared" si="19"/>
        <v>0</v>
      </c>
    </row>
    <row r="270" spans="1:12" x14ac:dyDescent="0.35">
      <c r="A270" s="1" t="s">
        <v>86</v>
      </c>
      <c r="B270">
        <v>0.21199999999999999</v>
      </c>
      <c r="C270">
        <v>0</v>
      </c>
      <c r="D270">
        <v>-2.3709669899999999</v>
      </c>
      <c r="E270">
        <v>0</v>
      </c>
      <c r="F270">
        <v>0</v>
      </c>
      <c r="G270">
        <v>132.89184</v>
      </c>
      <c r="I270">
        <f t="shared" si="16"/>
        <v>0</v>
      </c>
      <c r="J270">
        <f t="shared" si="17"/>
        <v>-47.452167353748784</v>
      </c>
      <c r="K270">
        <f t="shared" si="18"/>
        <v>0</v>
      </c>
      <c r="L270">
        <f t="shared" si="19"/>
        <v>0</v>
      </c>
    </row>
    <row r="271" spans="1:12" x14ac:dyDescent="0.35">
      <c r="A271" s="1" t="s">
        <v>48</v>
      </c>
      <c r="B271">
        <v>0.41782794400000001</v>
      </c>
      <c r="C271">
        <v>2.3392E-3</v>
      </c>
      <c r="D271">
        <v>0</v>
      </c>
      <c r="E271">
        <v>0</v>
      </c>
      <c r="F271">
        <v>0</v>
      </c>
      <c r="G271">
        <v>133.35667000000001</v>
      </c>
      <c r="I271">
        <f t="shared" si="16"/>
        <v>0.11204704805350077</v>
      </c>
      <c r="J271">
        <f t="shared" si="17"/>
        <v>0</v>
      </c>
      <c r="K271">
        <f t="shared" si="18"/>
        <v>0</v>
      </c>
      <c r="L271">
        <f t="shared" si="19"/>
        <v>0</v>
      </c>
    </row>
    <row r="272" spans="1:12" x14ac:dyDescent="0.35">
      <c r="A272" s="1" t="s">
        <v>49</v>
      </c>
      <c r="B272">
        <v>0.41782808399999999</v>
      </c>
      <c r="C272">
        <v>3.2192000000000002E-3</v>
      </c>
      <c r="D272">
        <v>0</v>
      </c>
      <c r="E272">
        <v>0</v>
      </c>
      <c r="F272">
        <v>0</v>
      </c>
      <c r="G272">
        <v>133.77449999999999</v>
      </c>
      <c r="I272">
        <f t="shared" si="16"/>
        <v>0.15419875865034546</v>
      </c>
      <c r="J272">
        <f t="shared" si="17"/>
        <v>0</v>
      </c>
      <c r="K272">
        <f t="shared" si="18"/>
        <v>0</v>
      </c>
      <c r="L272">
        <f t="shared" si="19"/>
        <v>0</v>
      </c>
    </row>
    <row r="273" spans="1:12" x14ac:dyDescent="0.35">
      <c r="A273" s="1" t="s">
        <v>50</v>
      </c>
      <c r="B273">
        <v>0.41782827500000003</v>
      </c>
      <c r="C273">
        <v>4.1392E-3</v>
      </c>
      <c r="D273">
        <v>0</v>
      </c>
      <c r="E273">
        <v>0</v>
      </c>
      <c r="F273">
        <v>0</v>
      </c>
      <c r="G273">
        <v>134.19233</v>
      </c>
      <c r="I273">
        <f t="shared" si="16"/>
        <v>0.19826640470947862</v>
      </c>
      <c r="J273">
        <f t="shared" si="17"/>
        <v>0</v>
      </c>
      <c r="K273">
        <f t="shared" si="18"/>
        <v>0</v>
      </c>
      <c r="L273">
        <f t="shared" si="19"/>
        <v>0</v>
      </c>
    </row>
    <row r="274" spans="1:12" x14ac:dyDescent="0.35">
      <c r="A274" s="1" t="s">
        <v>51</v>
      </c>
      <c r="B274">
        <v>0.41782864199999997</v>
      </c>
      <c r="C274">
        <v>5.4992000000000001E-3</v>
      </c>
      <c r="D274">
        <v>0</v>
      </c>
      <c r="E274">
        <v>0</v>
      </c>
      <c r="F274">
        <v>0</v>
      </c>
      <c r="G274">
        <v>134.61016000000001</v>
      </c>
      <c r="I274">
        <f t="shared" si="16"/>
        <v>0.26340975432619773</v>
      </c>
      <c r="J274">
        <f t="shared" si="17"/>
        <v>0</v>
      </c>
      <c r="K274">
        <f t="shared" si="18"/>
        <v>0</v>
      </c>
      <c r="L274">
        <f t="shared" si="19"/>
        <v>0</v>
      </c>
    </row>
    <row r="275" spans="1:12" x14ac:dyDescent="0.35">
      <c r="A275" s="1" t="s">
        <v>52</v>
      </c>
      <c r="B275">
        <v>0.41783028900000002</v>
      </c>
      <c r="C275">
        <v>9.4690999999999994E-3</v>
      </c>
      <c r="D275">
        <v>0</v>
      </c>
      <c r="E275">
        <v>0</v>
      </c>
      <c r="F275">
        <v>0</v>
      </c>
      <c r="G275">
        <v>135.02798999999999</v>
      </c>
      <c r="I275">
        <f t="shared" si="16"/>
        <v>0.45356478630764774</v>
      </c>
      <c r="J275">
        <f t="shared" si="17"/>
        <v>0</v>
      </c>
      <c r="K275">
        <f t="shared" si="18"/>
        <v>0</v>
      </c>
      <c r="L275">
        <f t="shared" si="19"/>
        <v>0</v>
      </c>
    </row>
    <row r="276" spans="1:12" x14ac:dyDescent="0.35">
      <c r="A276" s="1" t="s">
        <v>87</v>
      </c>
      <c r="B276">
        <v>0.16200000000000001</v>
      </c>
      <c r="C276">
        <v>0</v>
      </c>
      <c r="D276">
        <v>-2.8698264299999998</v>
      </c>
      <c r="E276">
        <v>0</v>
      </c>
      <c r="F276">
        <v>0</v>
      </c>
      <c r="G276">
        <v>135.23698999999999</v>
      </c>
      <c r="I276">
        <f t="shared" si="16"/>
        <v>0</v>
      </c>
      <c r="J276">
        <f t="shared" si="17"/>
        <v>-57.436263181619168</v>
      </c>
      <c r="K276">
        <f t="shared" si="18"/>
        <v>0</v>
      </c>
      <c r="L276">
        <f t="shared" si="19"/>
        <v>0</v>
      </c>
    </row>
    <row r="277" spans="1:12" x14ac:dyDescent="0.35">
      <c r="A277" s="1" t="s">
        <v>54</v>
      </c>
      <c r="B277">
        <v>0.1</v>
      </c>
      <c r="C277">
        <v>0</v>
      </c>
      <c r="D277">
        <v>0</v>
      </c>
      <c r="E277">
        <v>0</v>
      </c>
      <c r="F277">
        <v>0</v>
      </c>
      <c r="G277">
        <v>135.56699</v>
      </c>
      <c r="I277">
        <f t="shared" si="16"/>
        <v>0</v>
      </c>
      <c r="J277">
        <f t="shared" si="17"/>
        <v>0</v>
      </c>
      <c r="K277">
        <f t="shared" si="18"/>
        <v>0</v>
      </c>
      <c r="L277">
        <f t="shared" si="19"/>
        <v>0</v>
      </c>
    </row>
    <row r="278" spans="1:12" x14ac:dyDescent="0.35">
      <c r="A278" s="1" t="s">
        <v>88</v>
      </c>
      <c r="B278">
        <v>0.29499999999999998</v>
      </c>
      <c r="C278">
        <v>0</v>
      </c>
      <c r="D278">
        <v>2.43875777</v>
      </c>
      <c r="E278">
        <v>0</v>
      </c>
      <c r="F278">
        <v>0</v>
      </c>
      <c r="G278">
        <v>135.97199000000001</v>
      </c>
      <c r="I278">
        <f t="shared" si="16"/>
        <v>0</v>
      </c>
      <c r="J278">
        <f t="shared" si="17"/>
        <v>48.808921560436907</v>
      </c>
      <c r="K278">
        <f t="shared" si="18"/>
        <v>0</v>
      </c>
      <c r="L278">
        <f t="shared" si="19"/>
        <v>0</v>
      </c>
    </row>
    <row r="279" spans="1:12" x14ac:dyDescent="0.35">
      <c r="A279" s="1" t="s">
        <v>56</v>
      </c>
      <c r="B279">
        <v>0.29499999999999998</v>
      </c>
      <c r="C279">
        <v>0</v>
      </c>
      <c r="D279">
        <v>2.43875777</v>
      </c>
      <c r="E279">
        <v>0</v>
      </c>
      <c r="F279">
        <v>0</v>
      </c>
      <c r="G279">
        <v>141.84513999999999</v>
      </c>
      <c r="I279">
        <f t="shared" si="16"/>
        <v>0</v>
      </c>
      <c r="J279">
        <f t="shared" si="17"/>
        <v>48.808921560436907</v>
      </c>
      <c r="K279">
        <f t="shared" si="18"/>
        <v>0</v>
      </c>
      <c r="L279">
        <f t="shared" si="19"/>
        <v>0</v>
      </c>
    </row>
    <row r="280" spans="1:12" x14ac:dyDescent="0.35">
      <c r="A280" s="1" t="s">
        <v>2</v>
      </c>
      <c r="B280">
        <v>0.1</v>
      </c>
      <c r="C280">
        <v>0</v>
      </c>
      <c r="D280">
        <v>0</v>
      </c>
      <c r="E280">
        <v>0</v>
      </c>
      <c r="F280">
        <v>0</v>
      </c>
      <c r="G280">
        <v>142.05513999999999</v>
      </c>
      <c r="I280">
        <f t="shared" si="16"/>
        <v>0</v>
      </c>
      <c r="J280">
        <f t="shared" si="17"/>
        <v>0</v>
      </c>
      <c r="K280">
        <f t="shared" si="18"/>
        <v>0</v>
      </c>
      <c r="L280">
        <f t="shared" si="19"/>
        <v>0</v>
      </c>
    </row>
    <row r="281" spans="1:12" x14ac:dyDescent="0.35">
      <c r="A281" s="1" t="s">
        <v>57</v>
      </c>
      <c r="B281">
        <v>0.16200000000000001</v>
      </c>
      <c r="C281">
        <v>0</v>
      </c>
      <c r="D281">
        <v>-2.8698264299999998</v>
      </c>
      <c r="E281">
        <v>0</v>
      </c>
      <c r="F281">
        <v>0</v>
      </c>
      <c r="G281">
        <v>142.44713999999999</v>
      </c>
      <c r="I281">
        <f t="shared" si="16"/>
        <v>0</v>
      </c>
      <c r="J281">
        <f t="shared" si="17"/>
        <v>-57.436263181619168</v>
      </c>
      <c r="K281">
        <f t="shared" si="18"/>
        <v>0</v>
      </c>
      <c r="L281">
        <f t="shared" si="19"/>
        <v>0</v>
      </c>
    </row>
    <row r="282" spans="1:12" x14ac:dyDescent="0.35">
      <c r="A282" s="1" t="s">
        <v>58</v>
      </c>
      <c r="B282">
        <v>0.41783028900000002</v>
      </c>
      <c r="C282">
        <v>9.4690999999999994E-3</v>
      </c>
      <c r="D282">
        <v>0</v>
      </c>
      <c r="E282">
        <v>0</v>
      </c>
      <c r="F282">
        <v>0</v>
      </c>
      <c r="G282">
        <v>142.91197</v>
      </c>
      <c r="I282">
        <f t="shared" si="16"/>
        <v>0.45356478630764774</v>
      </c>
      <c r="J282">
        <f t="shared" si="17"/>
        <v>0</v>
      </c>
      <c r="K282">
        <f t="shared" si="18"/>
        <v>0</v>
      </c>
      <c r="L282">
        <f t="shared" si="19"/>
        <v>0</v>
      </c>
    </row>
    <row r="283" spans="1:12" x14ac:dyDescent="0.35">
      <c r="A283" s="1" t="s">
        <v>59</v>
      </c>
      <c r="B283">
        <v>0.41782864199999997</v>
      </c>
      <c r="C283">
        <v>5.4992000000000001E-3</v>
      </c>
      <c r="D283">
        <v>0</v>
      </c>
      <c r="E283">
        <v>0</v>
      </c>
      <c r="F283">
        <v>0</v>
      </c>
      <c r="G283">
        <v>143.32980000000001</v>
      </c>
      <c r="I283">
        <f t="shared" si="16"/>
        <v>0.26340975432619773</v>
      </c>
      <c r="J283">
        <f t="shared" si="17"/>
        <v>0</v>
      </c>
      <c r="K283">
        <f t="shared" si="18"/>
        <v>0</v>
      </c>
      <c r="L283">
        <f t="shared" si="19"/>
        <v>0</v>
      </c>
    </row>
    <row r="284" spans="1:12" x14ac:dyDescent="0.35">
      <c r="A284" s="1" t="s">
        <v>60</v>
      </c>
      <c r="B284">
        <v>0.41782827500000003</v>
      </c>
      <c r="C284">
        <v>4.1392E-3</v>
      </c>
      <c r="D284">
        <v>0</v>
      </c>
      <c r="E284">
        <v>0</v>
      </c>
      <c r="F284">
        <v>0</v>
      </c>
      <c r="G284">
        <v>143.74762999999999</v>
      </c>
      <c r="I284">
        <f t="shared" si="16"/>
        <v>0.19826640470947862</v>
      </c>
      <c r="J284">
        <f t="shared" si="17"/>
        <v>0</v>
      </c>
      <c r="K284">
        <f t="shared" si="18"/>
        <v>0</v>
      </c>
      <c r="L284">
        <f t="shared" si="19"/>
        <v>0</v>
      </c>
    </row>
    <row r="285" spans="1:12" x14ac:dyDescent="0.35">
      <c r="A285" s="1" t="s">
        <v>61</v>
      </c>
      <c r="B285">
        <v>0.41782808399999999</v>
      </c>
      <c r="C285">
        <v>3.2192000000000002E-3</v>
      </c>
      <c r="D285">
        <v>0</v>
      </c>
      <c r="E285">
        <v>0</v>
      </c>
      <c r="F285">
        <v>0</v>
      </c>
      <c r="G285">
        <v>144.16546</v>
      </c>
      <c r="I285">
        <f t="shared" si="16"/>
        <v>0.15419875865034546</v>
      </c>
      <c r="J285">
        <f t="shared" si="17"/>
        <v>0</v>
      </c>
      <c r="K285">
        <f t="shared" si="18"/>
        <v>0</v>
      </c>
      <c r="L285">
        <f t="shared" si="19"/>
        <v>0</v>
      </c>
    </row>
    <row r="286" spans="1:12" x14ac:dyDescent="0.35">
      <c r="A286" s="1" t="s">
        <v>62</v>
      </c>
      <c r="B286">
        <v>0.41782794400000001</v>
      </c>
      <c r="C286">
        <v>2.3392E-3</v>
      </c>
      <c r="D286">
        <v>0</v>
      </c>
      <c r="E286">
        <v>0</v>
      </c>
      <c r="F286">
        <v>0</v>
      </c>
      <c r="G286">
        <v>144.58328</v>
      </c>
      <c r="I286">
        <f t="shared" si="16"/>
        <v>0.11204704805350077</v>
      </c>
      <c r="J286">
        <f t="shared" si="17"/>
        <v>0</v>
      </c>
      <c r="K286">
        <f t="shared" si="18"/>
        <v>0</v>
      </c>
      <c r="L286">
        <f t="shared" si="19"/>
        <v>0</v>
      </c>
    </row>
    <row r="287" spans="1:12" x14ac:dyDescent="0.35">
      <c r="A287" s="1" t="s">
        <v>63</v>
      </c>
      <c r="B287">
        <v>0.21199999999999999</v>
      </c>
      <c r="C287">
        <v>0</v>
      </c>
      <c r="D287">
        <v>-2.3709669899999999</v>
      </c>
      <c r="E287">
        <v>0</v>
      </c>
      <c r="F287">
        <v>0</v>
      </c>
      <c r="G287">
        <v>144.84227999999999</v>
      </c>
      <c r="I287">
        <f t="shared" si="16"/>
        <v>0</v>
      </c>
      <c r="J287">
        <f t="shared" si="17"/>
        <v>-47.452167353748784</v>
      </c>
      <c r="K287">
        <f t="shared" si="18"/>
        <v>0</v>
      </c>
      <c r="L287">
        <f t="shared" si="19"/>
        <v>0</v>
      </c>
    </row>
    <row r="288" spans="1:12" x14ac:dyDescent="0.35">
      <c r="A288" s="1" t="s">
        <v>64</v>
      </c>
      <c r="B288">
        <v>0.16600000000000001</v>
      </c>
      <c r="C288">
        <v>0</v>
      </c>
      <c r="D288">
        <v>0</v>
      </c>
      <c r="E288">
        <v>-132.861086</v>
      </c>
      <c r="F288">
        <v>0</v>
      </c>
      <c r="G288">
        <v>145.08328</v>
      </c>
      <c r="I288">
        <f t="shared" si="16"/>
        <v>0</v>
      </c>
      <c r="J288">
        <f t="shared" si="17"/>
        <v>0</v>
      </c>
      <c r="K288">
        <f t="shared" si="18"/>
        <v>-2659.0612666744933</v>
      </c>
      <c r="L288">
        <f t="shared" si="19"/>
        <v>0</v>
      </c>
    </row>
    <row r="289" spans="1:12" x14ac:dyDescent="0.35">
      <c r="A289" s="1" t="s">
        <v>65</v>
      </c>
      <c r="B289">
        <v>0.21199999999999999</v>
      </c>
      <c r="C289">
        <v>0</v>
      </c>
      <c r="D289">
        <v>2.47240752</v>
      </c>
      <c r="E289">
        <v>0</v>
      </c>
      <c r="F289">
        <v>0</v>
      </c>
      <c r="G289">
        <v>145.89614</v>
      </c>
      <c r="I289">
        <f t="shared" si="16"/>
        <v>0</v>
      </c>
      <c r="J289">
        <f t="shared" si="17"/>
        <v>49.48238246273813</v>
      </c>
      <c r="K289">
        <f t="shared" si="18"/>
        <v>0</v>
      </c>
      <c r="L289">
        <f t="shared" si="19"/>
        <v>0</v>
      </c>
    </row>
    <row r="290" spans="1:12" x14ac:dyDescent="0.35">
      <c r="A290" s="1" t="s">
        <v>66</v>
      </c>
      <c r="B290">
        <v>0.1</v>
      </c>
      <c r="C290">
        <v>0</v>
      </c>
      <c r="D290">
        <v>0</v>
      </c>
      <c r="E290">
        <v>172.62799999999999</v>
      </c>
      <c r="F290">
        <v>0</v>
      </c>
      <c r="G290">
        <v>146.07114000000001</v>
      </c>
      <c r="I290">
        <f t="shared" si="16"/>
        <v>0</v>
      </c>
      <c r="J290">
        <f t="shared" si="17"/>
        <v>0</v>
      </c>
      <c r="K290">
        <f t="shared" si="18"/>
        <v>3454.9501450220296</v>
      </c>
      <c r="L290">
        <f t="shared" si="19"/>
        <v>0</v>
      </c>
    </row>
    <row r="291" spans="1:12" x14ac:dyDescent="0.35">
      <c r="A291" s="1" t="s">
        <v>66</v>
      </c>
      <c r="B291">
        <v>0.1</v>
      </c>
      <c r="C291">
        <v>0</v>
      </c>
      <c r="D291">
        <v>0</v>
      </c>
      <c r="E291">
        <v>172.62799999999999</v>
      </c>
      <c r="F291">
        <v>0</v>
      </c>
      <c r="G291">
        <f>146.07114+0.1</f>
        <v>146.17114000000001</v>
      </c>
      <c r="I291">
        <f t="shared" si="16"/>
        <v>0</v>
      </c>
      <c r="J291">
        <f t="shared" si="17"/>
        <v>0</v>
      </c>
      <c r="K291">
        <f t="shared" si="18"/>
        <v>3454.9501450220296</v>
      </c>
      <c r="L291">
        <f t="shared" si="19"/>
        <v>0</v>
      </c>
    </row>
    <row r="292" spans="1:12" x14ac:dyDescent="0.35">
      <c r="A292" s="1" t="s">
        <v>67</v>
      </c>
      <c r="B292">
        <v>0.21199999999999999</v>
      </c>
      <c r="C292">
        <v>0</v>
      </c>
      <c r="D292">
        <v>2.47240752</v>
      </c>
      <c r="E292">
        <v>0</v>
      </c>
      <c r="F292">
        <v>0</v>
      </c>
      <c r="G292">
        <v>146.45813999999999</v>
      </c>
      <c r="I292">
        <f t="shared" si="16"/>
        <v>0</v>
      </c>
      <c r="J292">
        <f t="shared" si="17"/>
        <v>49.48238246273813</v>
      </c>
      <c r="K292">
        <f t="shared" si="18"/>
        <v>0</v>
      </c>
      <c r="L292">
        <f t="shared" si="19"/>
        <v>0</v>
      </c>
    </row>
    <row r="293" spans="1:12" x14ac:dyDescent="0.35">
      <c r="A293" s="1" t="s">
        <v>68</v>
      </c>
      <c r="B293">
        <v>0.09</v>
      </c>
      <c r="C293">
        <v>0</v>
      </c>
      <c r="D293">
        <v>0</v>
      </c>
      <c r="E293">
        <v>0</v>
      </c>
      <c r="F293">
        <v>-13632</v>
      </c>
      <c r="G293">
        <v>146.60813999999999</v>
      </c>
      <c r="I293">
        <f t="shared" si="16"/>
        <v>0</v>
      </c>
      <c r="J293">
        <f t="shared" si="17"/>
        <v>0</v>
      </c>
      <c r="K293">
        <f t="shared" si="18"/>
        <v>0</v>
      </c>
      <c r="L293">
        <f t="shared" si="19"/>
        <v>-272828.74375501258</v>
      </c>
    </row>
    <row r="294" spans="1:12" x14ac:dyDescent="0.35">
      <c r="A294" s="1" t="s">
        <v>69</v>
      </c>
      <c r="B294">
        <v>0.16600000000000001</v>
      </c>
      <c r="C294">
        <v>0</v>
      </c>
      <c r="D294">
        <v>0</v>
      </c>
      <c r="E294">
        <v>-202.23429300000001</v>
      </c>
      <c r="F294">
        <v>0</v>
      </c>
      <c r="G294">
        <v>147.22498999999999</v>
      </c>
      <c r="I294">
        <f t="shared" si="16"/>
        <v>0</v>
      </c>
      <c r="J294">
        <f t="shared" si="17"/>
        <v>0</v>
      </c>
      <c r="K294">
        <f t="shared" si="18"/>
        <v>-4047.4859230760812</v>
      </c>
      <c r="L294">
        <f t="shared" si="19"/>
        <v>0</v>
      </c>
    </row>
    <row r="295" spans="1:12" x14ac:dyDescent="0.35">
      <c r="A295" s="1" t="s">
        <v>70</v>
      </c>
      <c r="B295">
        <v>0.21199999999999999</v>
      </c>
      <c r="C295">
        <v>0</v>
      </c>
      <c r="D295">
        <v>-2.53358734</v>
      </c>
      <c r="E295">
        <v>0</v>
      </c>
      <c r="F295">
        <v>0</v>
      </c>
      <c r="G295">
        <v>147.51199</v>
      </c>
      <c r="I295">
        <f t="shared" si="16"/>
        <v>0</v>
      </c>
      <c r="J295">
        <f t="shared" si="17"/>
        <v>-50.706825936458621</v>
      </c>
      <c r="K295">
        <f t="shared" si="18"/>
        <v>0</v>
      </c>
      <c r="L295">
        <f t="shared" si="19"/>
        <v>0</v>
      </c>
    </row>
    <row r="296" spans="1:12" x14ac:dyDescent="0.35">
      <c r="A296" s="1" t="s">
        <v>20</v>
      </c>
      <c r="B296">
        <v>0.41782794400000001</v>
      </c>
      <c r="C296">
        <v>2.3392E-3</v>
      </c>
      <c r="D296">
        <v>0</v>
      </c>
      <c r="E296">
        <v>0</v>
      </c>
      <c r="F296">
        <v>0</v>
      </c>
      <c r="G296">
        <v>147.97682</v>
      </c>
      <c r="I296">
        <f t="shared" si="16"/>
        <v>0.11204704805350077</v>
      </c>
      <c r="J296">
        <f t="shared" si="17"/>
        <v>0</v>
      </c>
      <c r="K296">
        <f t="shared" si="18"/>
        <v>0</v>
      </c>
      <c r="L296">
        <f t="shared" si="19"/>
        <v>0</v>
      </c>
    </row>
    <row r="297" spans="1:12" x14ac:dyDescent="0.35">
      <c r="A297" s="1" t="s">
        <v>21</v>
      </c>
      <c r="B297">
        <v>0.41782808399999999</v>
      </c>
      <c r="C297">
        <v>3.2192000000000002E-3</v>
      </c>
      <c r="D297">
        <v>0</v>
      </c>
      <c r="E297">
        <v>0</v>
      </c>
      <c r="F297">
        <v>0</v>
      </c>
      <c r="G297">
        <v>148.39465000000001</v>
      </c>
      <c r="I297">
        <f t="shared" si="16"/>
        <v>0.15419875865034546</v>
      </c>
      <c r="J297">
        <f t="shared" si="17"/>
        <v>0</v>
      </c>
      <c r="K297">
        <f t="shared" si="18"/>
        <v>0</v>
      </c>
      <c r="L297">
        <f t="shared" si="19"/>
        <v>0</v>
      </c>
    </row>
    <row r="298" spans="1:12" x14ac:dyDescent="0.35">
      <c r="A298" s="1" t="s">
        <v>22</v>
      </c>
      <c r="B298">
        <v>0.41782827500000003</v>
      </c>
      <c r="C298">
        <v>4.1392E-3</v>
      </c>
      <c r="D298">
        <v>0</v>
      </c>
      <c r="E298">
        <v>0</v>
      </c>
      <c r="F298">
        <v>0</v>
      </c>
      <c r="G298">
        <v>148.81247999999999</v>
      </c>
      <c r="I298">
        <f t="shared" si="16"/>
        <v>0.19826640470947862</v>
      </c>
      <c r="J298">
        <f t="shared" si="17"/>
        <v>0</v>
      </c>
      <c r="K298">
        <f t="shared" si="18"/>
        <v>0</v>
      </c>
      <c r="L298">
        <f t="shared" si="19"/>
        <v>0</v>
      </c>
    </row>
    <row r="299" spans="1:12" x14ac:dyDescent="0.35">
      <c r="A299" s="1" t="s">
        <v>23</v>
      </c>
      <c r="B299">
        <v>0.41782864199999997</v>
      </c>
      <c r="C299">
        <v>5.4992000000000001E-3</v>
      </c>
      <c r="D299">
        <v>0</v>
      </c>
      <c r="E299">
        <v>0</v>
      </c>
      <c r="F299">
        <v>0</v>
      </c>
      <c r="G299">
        <v>149.2303</v>
      </c>
      <c r="I299">
        <f t="shared" si="16"/>
        <v>0.26340975432619773</v>
      </c>
      <c r="J299">
        <f t="shared" si="17"/>
        <v>0</v>
      </c>
      <c r="K299">
        <f t="shared" si="18"/>
        <v>0</v>
      </c>
      <c r="L299">
        <f t="shared" si="19"/>
        <v>0</v>
      </c>
    </row>
    <row r="300" spans="1:12" x14ac:dyDescent="0.35">
      <c r="A300" s="1" t="s">
        <v>24</v>
      </c>
      <c r="B300">
        <v>0.41782941899999998</v>
      </c>
      <c r="C300">
        <v>7.6290999999999998E-3</v>
      </c>
      <c r="D300">
        <v>0</v>
      </c>
      <c r="E300">
        <v>0</v>
      </c>
      <c r="F300">
        <v>0</v>
      </c>
      <c r="G300">
        <v>149.64813000000001</v>
      </c>
      <c r="I300">
        <f t="shared" si="16"/>
        <v>0.36543053893202671</v>
      </c>
      <c r="J300">
        <f t="shared" si="17"/>
        <v>0</v>
      </c>
      <c r="K300">
        <f t="shared" si="18"/>
        <v>0</v>
      </c>
      <c r="L300">
        <f t="shared" si="19"/>
        <v>0</v>
      </c>
    </row>
    <row r="301" spans="1:12" x14ac:dyDescent="0.35">
      <c r="A301" s="1" t="s">
        <v>71</v>
      </c>
      <c r="B301">
        <v>0.3745</v>
      </c>
      <c r="C301">
        <v>0</v>
      </c>
      <c r="D301">
        <v>4.5116622</v>
      </c>
      <c r="E301">
        <v>0</v>
      </c>
      <c r="F301">
        <v>0</v>
      </c>
      <c r="G301">
        <v>150.17263</v>
      </c>
      <c r="I301">
        <f t="shared" si="16"/>
        <v>0</v>
      </c>
      <c r="J301">
        <f t="shared" si="17"/>
        <v>90.29571084748946</v>
      </c>
      <c r="K301">
        <f t="shared" si="18"/>
        <v>0</v>
      </c>
      <c r="L301">
        <f t="shared" si="19"/>
        <v>0</v>
      </c>
    </row>
    <row r="302" spans="1:12" x14ac:dyDescent="0.35">
      <c r="A302" s="1" t="s">
        <v>72</v>
      </c>
      <c r="B302">
        <v>1.0280365199999999</v>
      </c>
      <c r="C302">
        <v>2.4767999999999998E-2</v>
      </c>
      <c r="D302">
        <v>-1.929</v>
      </c>
      <c r="E302">
        <v>0</v>
      </c>
      <c r="F302">
        <v>0</v>
      </c>
      <c r="G302">
        <v>151.29067000000001</v>
      </c>
      <c r="I302">
        <f t="shared" si="16"/>
        <v>0.48218416286837618</v>
      </c>
      <c r="J302">
        <f t="shared" si="17"/>
        <v>-38.606708238220314</v>
      </c>
      <c r="K302">
        <f t="shared" si="18"/>
        <v>0</v>
      </c>
      <c r="L302">
        <f t="shared" si="19"/>
        <v>0</v>
      </c>
    </row>
    <row r="303" spans="1:12" x14ac:dyDescent="0.35">
      <c r="A303" s="1" t="s">
        <v>73</v>
      </c>
      <c r="B303">
        <v>0.4975</v>
      </c>
      <c r="C303">
        <v>0</v>
      </c>
      <c r="D303">
        <v>4.61414189</v>
      </c>
      <c r="E303">
        <v>0</v>
      </c>
      <c r="F303">
        <v>0</v>
      </c>
      <c r="G303">
        <v>151.87817000000001</v>
      </c>
      <c r="I303">
        <f t="shared" si="16"/>
        <v>0</v>
      </c>
      <c r="J303">
        <f t="shared" si="17"/>
        <v>92.346723544313335</v>
      </c>
      <c r="K303">
        <f t="shared" si="18"/>
        <v>0</v>
      </c>
      <c r="L303">
        <f t="shared" si="19"/>
        <v>0</v>
      </c>
    </row>
    <row r="304" spans="1:12" x14ac:dyDescent="0.35">
      <c r="A304" s="1" t="s">
        <v>28</v>
      </c>
      <c r="B304">
        <v>0.1</v>
      </c>
      <c r="C304">
        <v>0</v>
      </c>
      <c r="D304">
        <v>0</v>
      </c>
      <c r="E304">
        <v>0</v>
      </c>
      <c r="F304">
        <v>0</v>
      </c>
      <c r="G304">
        <v>152.04924</v>
      </c>
      <c r="I304">
        <f t="shared" si="16"/>
        <v>0</v>
      </c>
      <c r="J304">
        <f t="shared" si="17"/>
        <v>0</v>
      </c>
      <c r="K304">
        <f t="shared" si="18"/>
        <v>0</v>
      </c>
      <c r="L304">
        <f t="shared" si="19"/>
        <v>0</v>
      </c>
    </row>
    <row r="305" spans="1:12" x14ac:dyDescent="0.35">
      <c r="A305" s="1" t="s">
        <v>74</v>
      </c>
      <c r="B305">
        <v>0.40000102700000001</v>
      </c>
      <c r="C305">
        <v>5.2300999999999997E-3</v>
      </c>
      <c r="D305">
        <v>-1.5815999999999999</v>
      </c>
      <c r="E305">
        <v>0</v>
      </c>
      <c r="F305">
        <v>0</v>
      </c>
      <c r="G305">
        <v>152.54223999999999</v>
      </c>
      <c r="I305">
        <f t="shared" si="16"/>
        <v>0.26168536331815889</v>
      </c>
      <c r="J305">
        <f t="shared" si="17"/>
        <v>-31.653898263125576</v>
      </c>
      <c r="K305">
        <f t="shared" si="18"/>
        <v>0</v>
      </c>
      <c r="L305">
        <f t="shared" si="19"/>
        <v>0</v>
      </c>
    </row>
    <row r="306" spans="1:12" x14ac:dyDescent="0.35">
      <c r="A306" s="1" t="s">
        <v>30</v>
      </c>
      <c r="B306">
        <v>2.44294E-2</v>
      </c>
      <c r="C306">
        <v>1.0499000000000001E-3</v>
      </c>
      <c r="D306">
        <v>0</v>
      </c>
      <c r="E306">
        <v>0</v>
      </c>
      <c r="F306">
        <v>0</v>
      </c>
      <c r="G306">
        <v>152.63717</v>
      </c>
      <c r="I306">
        <f t="shared" si="16"/>
        <v>0.8601331402616047</v>
      </c>
      <c r="J306">
        <f t="shared" si="17"/>
        <v>0</v>
      </c>
      <c r="K306">
        <f t="shared" si="18"/>
        <v>0</v>
      </c>
      <c r="L306">
        <f t="shared" si="19"/>
        <v>0</v>
      </c>
    </row>
    <row r="307" spans="1:12" x14ac:dyDescent="0.35">
      <c r="A307" s="1" t="s">
        <v>30</v>
      </c>
      <c r="B307">
        <v>2.44294E-2</v>
      </c>
      <c r="C307">
        <v>1.0499000000000001E-3</v>
      </c>
      <c r="D307">
        <v>0</v>
      </c>
      <c r="E307">
        <v>0</v>
      </c>
      <c r="F307">
        <v>0</v>
      </c>
      <c r="G307">
        <f>152.63717+0.0244294</f>
        <v>152.6615994</v>
      </c>
      <c r="I307">
        <f t="shared" si="16"/>
        <v>0.8601331402616047</v>
      </c>
      <c r="J307">
        <f t="shared" si="17"/>
        <v>0</v>
      </c>
      <c r="K307">
        <f t="shared" si="18"/>
        <v>0</v>
      </c>
      <c r="L307">
        <f t="shared" si="19"/>
        <v>0</v>
      </c>
    </row>
    <row r="308" spans="1:12" x14ac:dyDescent="0.35">
      <c r="A308" s="1" t="s">
        <v>75</v>
      </c>
      <c r="B308">
        <v>0.40000102700000001</v>
      </c>
      <c r="C308">
        <v>5.2300999999999997E-3</v>
      </c>
      <c r="D308">
        <v>-1.5815999999999999</v>
      </c>
      <c r="E308">
        <v>0</v>
      </c>
      <c r="F308">
        <v>0</v>
      </c>
      <c r="G308">
        <v>153.13210000000001</v>
      </c>
      <c r="I308">
        <f t="shared" si="16"/>
        <v>0.26168536331815889</v>
      </c>
      <c r="J308">
        <f t="shared" si="17"/>
        <v>-31.653898263125576</v>
      </c>
      <c r="K308">
        <f t="shared" si="18"/>
        <v>0</v>
      </c>
      <c r="L308">
        <f t="shared" si="19"/>
        <v>0</v>
      </c>
    </row>
    <row r="309" spans="1:12" x14ac:dyDescent="0.35">
      <c r="A309" s="1" t="s">
        <v>76</v>
      </c>
      <c r="B309">
        <v>0.4975</v>
      </c>
      <c r="C309">
        <v>0</v>
      </c>
      <c r="D309">
        <v>4.61414189</v>
      </c>
      <c r="E309">
        <v>0</v>
      </c>
      <c r="F309">
        <v>0</v>
      </c>
      <c r="G309">
        <v>153.89366999999999</v>
      </c>
      <c r="I309">
        <f t="shared" si="16"/>
        <v>0</v>
      </c>
      <c r="J309">
        <f t="shared" si="17"/>
        <v>92.346723544313335</v>
      </c>
      <c r="K309">
        <f t="shared" si="18"/>
        <v>0</v>
      </c>
      <c r="L309">
        <f t="shared" si="19"/>
        <v>0</v>
      </c>
    </row>
    <row r="310" spans="1:12" x14ac:dyDescent="0.35">
      <c r="A310" s="1" t="s">
        <v>77</v>
      </c>
      <c r="B310">
        <v>1.0280365199999999</v>
      </c>
      <c r="C310">
        <v>2.4767999999999998E-2</v>
      </c>
      <c r="D310">
        <v>-1.929</v>
      </c>
      <c r="E310">
        <v>0</v>
      </c>
      <c r="F310">
        <v>0</v>
      </c>
      <c r="G310">
        <v>155.01170999999999</v>
      </c>
      <c r="I310">
        <f t="shared" si="16"/>
        <v>0.48218416286837618</v>
      </c>
      <c r="J310">
        <f t="shared" si="17"/>
        <v>-38.606708238220314</v>
      </c>
      <c r="K310">
        <f t="shared" si="18"/>
        <v>0</v>
      </c>
      <c r="L310">
        <f t="shared" si="19"/>
        <v>0</v>
      </c>
    </row>
    <row r="311" spans="1:12" x14ac:dyDescent="0.35">
      <c r="A311" s="1" t="s">
        <v>78</v>
      </c>
      <c r="B311">
        <v>0.3745</v>
      </c>
      <c r="C311">
        <v>0</v>
      </c>
      <c r="D311">
        <v>4.5116622</v>
      </c>
      <c r="E311">
        <v>0</v>
      </c>
      <c r="F311">
        <v>0</v>
      </c>
      <c r="G311">
        <v>155.47621000000001</v>
      </c>
      <c r="I311">
        <f t="shared" si="16"/>
        <v>0</v>
      </c>
      <c r="J311">
        <f t="shared" si="17"/>
        <v>90.29571084748946</v>
      </c>
      <c r="K311">
        <f t="shared" si="18"/>
        <v>0</v>
      </c>
      <c r="L311">
        <f t="shared" si="19"/>
        <v>0</v>
      </c>
    </row>
    <row r="312" spans="1:12" x14ac:dyDescent="0.35">
      <c r="A312" s="1" t="s">
        <v>35</v>
      </c>
      <c r="B312">
        <v>0.41782941899999998</v>
      </c>
      <c r="C312">
        <v>7.6290999999999998E-3</v>
      </c>
      <c r="D312">
        <v>0</v>
      </c>
      <c r="E312">
        <v>0</v>
      </c>
      <c r="F312">
        <v>0</v>
      </c>
      <c r="G312">
        <v>156.04404</v>
      </c>
      <c r="I312">
        <f t="shared" si="16"/>
        <v>0.36543053893202671</v>
      </c>
      <c r="J312">
        <f t="shared" si="17"/>
        <v>0</v>
      </c>
      <c r="K312">
        <f t="shared" si="18"/>
        <v>0</v>
      </c>
      <c r="L312">
        <f t="shared" si="19"/>
        <v>0</v>
      </c>
    </row>
    <row r="313" spans="1:12" x14ac:dyDescent="0.35">
      <c r="A313" s="1" t="s">
        <v>36</v>
      </c>
      <c r="B313">
        <v>0.41782864199999997</v>
      </c>
      <c r="C313">
        <v>5.4992000000000001E-3</v>
      </c>
      <c r="D313">
        <v>0</v>
      </c>
      <c r="E313">
        <v>0</v>
      </c>
      <c r="F313">
        <v>0</v>
      </c>
      <c r="G313">
        <v>156.46187</v>
      </c>
      <c r="I313">
        <f t="shared" si="16"/>
        <v>0.26340975432619773</v>
      </c>
      <c r="J313">
        <f t="shared" si="17"/>
        <v>0</v>
      </c>
      <c r="K313">
        <f t="shared" si="18"/>
        <v>0</v>
      </c>
      <c r="L313">
        <f t="shared" si="19"/>
        <v>0</v>
      </c>
    </row>
    <row r="314" spans="1:12" x14ac:dyDescent="0.35">
      <c r="A314" s="1" t="s">
        <v>37</v>
      </c>
      <c r="B314">
        <v>0.41782827500000003</v>
      </c>
      <c r="C314">
        <v>4.1392E-3</v>
      </c>
      <c r="D314">
        <v>0</v>
      </c>
      <c r="E314">
        <v>0</v>
      </c>
      <c r="F314">
        <v>0</v>
      </c>
      <c r="G314">
        <v>156.87969000000001</v>
      </c>
      <c r="I314">
        <f t="shared" si="16"/>
        <v>0.19826640470947862</v>
      </c>
      <c r="J314">
        <f t="shared" si="17"/>
        <v>0</v>
      </c>
      <c r="K314">
        <f t="shared" si="18"/>
        <v>0</v>
      </c>
      <c r="L314">
        <f t="shared" si="19"/>
        <v>0</v>
      </c>
    </row>
    <row r="315" spans="1:12" x14ac:dyDescent="0.35">
      <c r="A315" s="1" t="s">
        <v>38</v>
      </c>
      <c r="B315">
        <v>0.41782808399999999</v>
      </c>
      <c r="C315">
        <v>3.2192000000000002E-3</v>
      </c>
      <c r="D315">
        <v>0</v>
      </c>
      <c r="E315">
        <v>0</v>
      </c>
      <c r="F315">
        <v>0</v>
      </c>
      <c r="G315">
        <v>157.29751999999999</v>
      </c>
      <c r="I315">
        <f t="shared" si="16"/>
        <v>0.15419875865034546</v>
      </c>
      <c r="J315">
        <f t="shared" si="17"/>
        <v>0</v>
      </c>
      <c r="K315">
        <f t="shared" si="18"/>
        <v>0</v>
      </c>
      <c r="L315">
        <f t="shared" si="19"/>
        <v>0</v>
      </c>
    </row>
    <row r="316" spans="1:12" x14ac:dyDescent="0.35">
      <c r="A316" s="1" t="s">
        <v>39</v>
      </c>
      <c r="B316">
        <v>0.41782794400000001</v>
      </c>
      <c r="C316">
        <v>2.3392E-3</v>
      </c>
      <c r="D316">
        <v>0</v>
      </c>
      <c r="E316">
        <v>0</v>
      </c>
      <c r="F316">
        <v>0</v>
      </c>
      <c r="G316">
        <v>157.71535</v>
      </c>
      <c r="I316">
        <f t="shared" si="16"/>
        <v>0.11204704805350077</v>
      </c>
      <c r="J316">
        <f t="shared" si="17"/>
        <v>0</v>
      </c>
      <c r="K316">
        <f t="shared" si="18"/>
        <v>0</v>
      </c>
      <c r="L316">
        <f t="shared" si="19"/>
        <v>0</v>
      </c>
    </row>
    <row r="317" spans="1:12" x14ac:dyDescent="0.35">
      <c r="A317" s="1" t="s">
        <v>79</v>
      </c>
      <c r="B317">
        <v>0.21199999999999999</v>
      </c>
      <c r="C317">
        <v>0</v>
      </c>
      <c r="D317">
        <v>-2.53358734</v>
      </c>
      <c r="E317">
        <v>0</v>
      </c>
      <c r="F317">
        <v>0</v>
      </c>
      <c r="G317">
        <v>157.97434999999999</v>
      </c>
      <c r="I317">
        <f t="shared" si="16"/>
        <v>0</v>
      </c>
      <c r="J317">
        <f t="shared" si="17"/>
        <v>-50.706825936458621</v>
      </c>
      <c r="K317">
        <f t="shared" si="18"/>
        <v>0</v>
      </c>
      <c r="L317">
        <f t="shared" si="19"/>
        <v>0</v>
      </c>
    </row>
    <row r="318" spans="1:12" x14ac:dyDescent="0.35">
      <c r="A318" s="1" t="s">
        <v>80</v>
      </c>
      <c r="B318">
        <v>0.16600000000000001</v>
      </c>
      <c r="C318">
        <v>0</v>
      </c>
      <c r="D318">
        <v>0</v>
      </c>
      <c r="E318">
        <v>-202.23429300000001</v>
      </c>
      <c r="F318">
        <v>0</v>
      </c>
      <c r="G318">
        <v>158.21535</v>
      </c>
      <c r="I318">
        <f t="shared" si="16"/>
        <v>0</v>
      </c>
      <c r="J318">
        <f t="shared" si="17"/>
        <v>0</v>
      </c>
      <c r="K318">
        <f t="shared" si="18"/>
        <v>-4047.4859230760812</v>
      </c>
      <c r="L318">
        <f t="shared" si="19"/>
        <v>0</v>
      </c>
    </row>
    <row r="319" spans="1:12" x14ac:dyDescent="0.35">
      <c r="A319" s="1" t="s">
        <v>81</v>
      </c>
      <c r="B319">
        <v>0.09</v>
      </c>
      <c r="C319">
        <v>0</v>
      </c>
      <c r="D319">
        <v>0</v>
      </c>
      <c r="E319">
        <v>0</v>
      </c>
      <c r="F319">
        <v>-13632</v>
      </c>
      <c r="G319">
        <v>158.75620000000001</v>
      </c>
      <c r="I319">
        <f t="shared" si="16"/>
        <v>0</v>
      </c>
      <c r="J319">
        <f t="shared" si="17"/>
        <v>0</v>
      </c>
      <c r="K319">
        <f t="shared" si="18"/>
        <v>0</v>
      </c>
      <c r="L319">
        <f t="shared" si="19"/>
        <v>-272828.74375501258</v>
      </c>
    </row>
    <row r="320" spans="1:12" x14ac:dyDescent="0.35">
      <c r="A320" s="1" t="s">
        <v>82</v>
      </c>
      <c r="B320">
        <v>0.21199999999999999</v>
      </c>
      <c r="C320">
        <v>0</v>
      </c>
      <c r="D320">
        <v>2.47240752</v>
      </c>
      <c r="E320">
        <v>0</v>
      </c>
      <c r="F320">
        <v>0</v>
      </c>
      <c r="G320">
        <v>159.0282</v>
      </c>
      <c r="I320">
        <f t="shared" si="16"/>
        <v>0</v>
      </c>
      <c r="J320">
        <f t="shared" si="17"/>
        <v>49.48238246273813</v>
      </c>
      <c r="K320">
        <f t="shared" si="18"/>
        <v>0</v>
      </c>
      <c r="L320">
        <f t="shared" si="19"/>
        <v>0</v>
      </c>
    </row>
    <row r="321" spans="1:12" x14ac:dyDescent="0.35">
      <c r="A321" s="1" t="s">
        <v>83</v>
      </c>
      <c r="B321">
        <v>0.1</v>
      </c>
      <c r="C321">
        <v>0</v>
      </c>
      <c r="D321">
        <v>0</v>
      </c>
      <c r="E321">
        <v>172.62799999999999</v>
      </c>
      <c r="F321">
        <v>0</v>
      </c>
      <c r="G321">
        <v>159.20320000000001</v>
      </c>
      <c r="I321">
        <f t="shared" si="16"/>
        <v>0</v>
      </c>
      <c r="J321">
        <f t="shared" si="17"/>
        <v>0</v>
      </c>
      <c r="K321">
        <f t="shared" si="18"/>
        <v>3454.9501450220296</v>
      </c>
      <c r="L321">
        <f t="shared" si="19"/>
        <v>0</v>
      </c>
    </row>
    <row r="322" spans="1:12" x14ac:dyDescent="0.35">
      <c r="A322" s="1" t="s">
        <v>83</v>
      </c>
      <c r="B322">
        <v>0.1</v>
      </c>
      <c r="C322">
        <v>0</v>
      </c>
      <c r="D322">
        <v>0</v>
      </c>
      <c r="E322">
        <v>172.62799999999999</v>
      </c>
      <c r="F322">
        <v>0</v>
      </c>
      <c r="G322">
        <f>0.1+159.2032</f>
        <v>159.3032</v>
      </c>
      <c r="I322">
        <f t="shared" si="16"/>
        <v>0</v>
      </c>
      <c r="J322">
        <f t="shared" si="17"/>
        <v>0</v>
      </c>
      <c r="K322">
        <f t="shared" si="18"/>
        <v>3454.9501450220296</v>
      </c>
      <c r="L322">
        <f t="shared" si="19"/>
        <v>0</v>
      </c>
    </row>
    <row r="323" spans="1:12" x14ac:dyDescent="0.35">
      <c r="A323" s="1" t="s">
        <v>84</v>
      </c>
      <c r="B323">
        <v>0.21199999999999999</v>
      </c>
      <c r="C323">
        <v>0</v>
      </c>
      <c r="D323">
        <v>2.47240752</v>
      </c>
      <c r="E323">
        <v>0</v>
      </c>
      <c r="F323">
        <v>0</v>
      </c>
      <c r="G323">
        <v>159.59020000000001</v>
      </c>
      <c r="I323">
        <f t="shared" si="16"/>
        <v>0</v>
      </c>
      <c r="J323">
        <f t="shared" si="17"/>
        <v>49.48238246273813</v>
      </c>
      <c r="K323">
        <f t="shared" si="18"/>
        <v>0</v>
      </c>
      <c r="L323">
        <f t="shared" si="19"/>
        <v>0</v>
      </c>
    </row>
    <row r="324" spans="1:12" x14ac:dyDescent="0.35">
      <c r="A324" s="1" t="s">
        <v>85</v>
      </c>
      <c r="B324">
        <v>0.16600000000000001</v>
      </c>
      <c r="C324">
        <v>0</v>
      </c>
      <c r="D324">
        <v>0</v>
      </c>
      <c r="E324">
        <v>-132.861086</v>
      </c>
      <c r="F324">
        <v>0</v>
      </c>
      <c r="G324">
        <v>160.35705999999999</v>
      </c>
      <c r="I324">
        <f t="shared" ref="I324:I387" si="20">$H$2*$C324/$B324</f>
        <v>0</v>
      </c>
      <c r="J324">
        <f t="shared" ref="J324:J387" si="21">$H$2*$D324</f>
        <v>0</v>
      </c>
      <c r="K324">
        <f t="shared" ref="K324:K387" si="22">$H$2*$E324</f>
        <v>-2659.0612666744933</v>
      </c>
      <c r="L324">
        <f t="shared" ref="L324:L387" si="23">$H$2*$F324</f>
        <v>0</v>
      </c>
    </row>
    <row r="325" spans="1:12" x14ac:dyDescent="0.35">
      <c r="A325" s="1" t="s">
        <v>86</v>
      </c>
      <c r="B325">
        <v>0.21199999999999999</v>
      </c>
      <c r="C325">
        <v>0</v>
      </c>
      <c r="D325">
        <v>-2.3709669899999999</v>
      </c>
      <c r="E325">
        <v>0</v>
      </c>
      <c r="F325">
        <v>0</v>
      </c>
      <c r="G325">
        <v>160.64406</v>
      </c>
      <c r="I325">
        <f t="shared" si="20"/>
        <v>0</v>
      </c>
      <c r="J325">
        <f t="shared" si="21"/>
        <v>-47.452167353748784</v>
      </c>
      <c r="K325">
        <f t="shared" si="22"/>
        <v>0</v>
      </c>
      <c r="L325">
        <f t="shared" si="23"/>
        <v>0</v>
      </c>
    </row>
    <row r="326" spans="1:12" x14ac:dyDescent="0.35">
      <c r="A326" s="1" t="s">
        <v>48</v>
      </c>
      <c r="B326">
        <v>0.41782794400000001</v>
      </c>
      <c r="C326">
        <v>2.3392E-3</v>
      </c>
      <c r="D326">
        <v>0</v>
      </c>
      <c r="E326">
        <v>0</v>
      </c>
      <c r="F326">
        <v>0</v>
      </c>
      <c r="G326">
        <v>161.10889</v>
      </c>
      <c r="I326">
        <f t="shared" si="20"/>
        <v>0.11204704805350077</v>
      </c>
      <c r="J326">
        <f t="shared" si="21"/>
        <v>0</v>
      </c>
      <c r="K326">
        <f t="shared" si="22"/>
        <v>0</v>
      </c>
      <c r="L326">
        <f t="shared" si="23"/>
        <v>0</v>
      </c>
    </row>
    <row r="327" spans="1:12" x14ac:dyDescent="0.35">
      <c r="A327" s="1" t="s">
        <v>49</v>
      </c>
      <c r="B327">
        <v>0.41782808399999999</v>
      </c>
      <c r="C327">
        <v>3.2192000000000002E-3</v>
      </c>
      <c r="D327">
        <v>0</v>
      </c>
      <c r="E327">
        <v>0</v>
      </c>
      <c r="F327">
        <v>0</v>
      </c>
      <c r="G327">
        <v>161.52671000000001</v>
      </c>
      <c r="I327">
        <f t="shared" si="20"/>
        <v>0.15419875865034546</v>
      </c>
      <c r="J327">
        <f t="shared" si="21"/>
        <v>0</v>
      </c>
      <c r="K327">
        <f t="shared" si="22"/>
        <v>0</v>
      </c>
      <c r="L327">
        <f t="shared" si="23"/>
        <v>0</v>
      </c>
    </row>
    <row r="328" spans="1:12" x14ac:dyDescent="0.35">
      <c r="A328" s="1" t="s">
        <v>50</v>
      </c>
      <c r="B328">
        <v>0.41782827500000003</v>
      </c>
      <c r="C328">
        <v>4.1392E-3</v>
      </c>
      <c r="D328">
        <v>0</v>
      </c>
      <c r="E328">
        <v>0</v>
      </c>
      <c r="F328">
        <v>0</v>
      </c>
      <c r="G328">
        <v>161.94453999999999</v>
      </c>
      <c r="I328">
        <f t="shared" si="20"/>
        <v>0.19826640470947862</v>
      </c>
      <c r="J328">
        <f t="shared" si="21"/>
        <v>0</v>
      </c>
      <c r="K328">
        <f t="shared" si="22"/>
        <v>0</v>
      </c>
      <c r="L328">
        <f t="shared" si="23"/>
        <v>0</v>
      </c>
    </row>
    <row r="329" spans="1:12" x14ac:dyDescent="0.35">
      <c r="A329" s="1" t="s">
        <v>51</v>
      </c>
      <c r="B329">
        <v>0.41782864199999997</v>
      </c>
      <c r="C329">
        <v>5.4992000000000001E-3</v>
      </c>
      <c r="D329">
        <v>0</v>
      </c>
      <c r="E329">
        <v>0</v>
      </c>
      <c r="F329">
        <v>0</v>
      </c>
      <c r="G329">
        <v>162.36237</v>
      </c>
      <c r="I329">
        <f t="shared" si="20"/>
        <v>0.26340975432619773</v>
      </c>
      <c r="J329">
        <f t="shared" si="21"/>
        <v>0</v>
      </c>
      <c r="K329">
        <f t="shared" si="22"/>
        <v>0</v>
      </c>
      <c r="L329">
        <f t="shared" si="23"/>
        <v>0</v>
      </c>
    </row>
    <row r="330" spans="1:12" x14ac:dyDescent="0.35">
      <c r="A330" s="1" t="s">
        <v>52</v>
      </c>
      <c r="B330">
        <v>0.41783028900000002</v>
      </c>
      <c r="C330">
        <v>9.4690999999999994E-3</v>
      </c>
      <c r="D330">
        <v>0</v>
      </c>
      <c r="E330">
        <v>0</v>
      </c>
      <c r="F330">
        <v>0</v>
      </c>
      <c r="G330">
        <v>162.78020000000001</v>
      </c>
      <c r="I330">
        <f t="shared" si="20"/>
        <v>0.45356478630764774</v>
      </c>
      <c r="J330">
        <f t="shared" si="21"/>
        <v>0</v>
      </c>
      <c r="K330">
        <f t="shared" si="22"/>
        <v>0</v>
      </c>
      <c r="L330">
        <f t="shared" si="23"/>
        <v>0</v>
      </c>
    </row>
    <row r="331" spans="1:12" x14ac:dyDescent="0.35">
      <c r="A331" s="1" t="s">
        <v>87</v>
      </c>
      <c r="B331">
        <v>0.16200000000000001</v>
      </c>
      <c r="C331">
        <v>0</v>
      </c>
      <c r="D331">
        <v>-2.8698264299999998</v>
      </c>
      <c r="E331">
        <v>0</v>
      </c>
      <c r="F331">
        <v>0</v>
      </c>
      <c r="G331">
        <v>162.98920000000001</v>
      </c>
      <c r="I331">
        <f t="shared" si="20"/>
        <v>0</v>
      </c>
      <c r="J331">
        <f t="shared" si="21"/>
        <v>-57.436263181619168</v>
      </c>
      <c r="K331">
        <f t="shared" si="22"/>
        <v>0</v>
      </c>
      <c r="L331">
        <f t="shared" si="23"/>
        <v>0</v>
      </c>
    </row>
    <row r="332" spans="1:12" x14ac:dyDescent="0.35">
      <c r="A332" s="1" t="s">
        <v>54</v>
      </c>
      <c r="B332">
        <v>0.1</v>
      </c>
      <c r="C332">
        <v>0</v>
      </c>
      <c r="D332">
        <v>0</v>
      </c>
      <c r="E332">
        <v>0</v>
      </c>
      <c r="F332">
        <v>0</v>
      </c>
      <c r="G332">
        <v>163.3192</v>
      </c>
      <c r="I332">
        <f t="shared" si="20"/>
        <v>0</v>
      </c>
      <c r="J332">
        <f t="shared" si="21"/>
        <v>0</v>
      </c>
      <c r="K332">
        <f t="shared" si="22"/>
        <v>0</v>
      </c>
      <c r="L332">
        <f t="shared" si="23"/>
        <v>0</v>
      </c>
    </row>
    <row r="333" spans="1:12" x14ac:dyDescent="0.35">
      <c r="A333" s="1" t="s">
        <v>88</v>
      </c>
      <c r="B333">
        <v>0.29499999999999998</v>
      </c>
      <c r="C333">
        <v>0</v>
      </c>
      <c r="D333">
        <v>2.43875777</v>
      </c>
      <c r="E333">
        <v>0</v>
      </c>
      <c r="F333">
        <v>0</v>
      </c>
      <c r="G333">
        <v>163.7242</v>
      </c>
      <c r="I333">
        <f t="shared" si="20"/>
        <v>0</v>
      </c>
      <c r="J333">
        <f t="shared" si="21"/>
        <v>48.808921560436907</v>
      </c>
      <c r="K333">
        <f t="shared" si="22"/>
        <v>0</v>
      </c>
      <c r="L333">
        <f t="shared" si="23"/>
        <v>0</v>
      </c>
    </row>
    <row r="334" spans="1:12" x14ac:dyDescent="0.35">
      <c r="A334" s="1" t="s">
        <v>56</v>
      </c>
      <c r="B334">
        <v>0.29499999999999998</v>
      </c>
      <c r="C334">
        <v>0</v>
      </c>
      <c r="D334">
        <v>2.43875777</v>
      </c>
      <c r="E334">
        <v>0</v>
      </c>
      <c r="F334">
        <v>0</v>
      </c>
      <c r="G334">
        <v>169.59735000000001</v>
      </c>
      <c r="I334">
        <f t="shared" si="20"/>
        <v>0</v>
      </c>
      <c r="J334">
        <f t="shared" si="21"/>
        <v>48.808921560436907</v>
      </c>
      <c r="K334">
        <f t="shared" si="22"/>
        <v>0</v>
      </c>
      <c r="L334">
        <f t="shared" si="23"/>
        <v>0</v>
      </c>
    </row>
    <row r="335" spans="1:12" x14ac:dyDescent="0.35">
      <c r="A335" s="1" t="s">
        <v>2</v>
      </c>
      <c r="B335">
        <v>0.1</v>
      </c>
      <c r="C335">
        <v>0</v>
      </c>
      <c r="D335">
        <v>0</v>
      </c>
      <c r="E335">
        <v>0</v>
      </c>
      <c r="F335">
        <v>0</v>
      </c>
      <c r="G335">
        <v>169.80735000000001</v>
      </c>
      <c r="I335">
        <f t="shared" si="20"/>
        <v>0</v>
      </c>
      <c r="J335">
        <f t="shared" si="21"/>
        <v>0</v>
      </c>
      <c r="K335">
        <f t="shared" si="22"/>
        <v>0</v>
      </c>
      <c r="L335">
        <f t="shared" si="23"/>
        <v>0</v>
      </c>
    </row>
    <row r="336" spans="1:12" x14ac:dyDescent="0.35">
      <c r="A336" s="1" t="s">
        <v>57</v>
      </c>
      <c r="B336">
        <v>0.16200000000000001</v>
      </c>
      <c r="C336">
        <v>0</v>
      </c>
      <c r="D336">
        <v>-2.8698264299999998</v>
      </c>
      <c r="E336">
        <v>0</v>
      </c>
      <c r="F336">
        <v>0</v>
      </c>
      <c r="G336">
        <v>170.19935000000001</v>
      </c>
      <c r="I336">
        <f t="shared" si="20"/>
        <v>0</v>
      </c>
      <c r="J336">
        <f t="shared" si="21"/>
        <v>-57.436263181619168</v>
      </c>
      <c r="K336">
        <f t="shared" si="22"/>
        <v>0</v>
      </c>
      <c r="L336">
        <f t="shared" si="23"/>
        <v>0</v>
      </c>
    </row>
    <row r="337" spans="1:12" x14ac:dyDescent="0.35">
      <c r="A337" s="1" t="s">
        <v>58</v>
      </c>
      <c r="B337">
        <v>0.41783028900000002</v>
      </c>
      <c r="C337">
        <v>9.4690999999999994E-3</v>
      </c>
      <c r="D337">
        <v>0</v>
      </c>
      <c r="E337">
        <v>0</v>
      </c>
      <c r="F337">
        <v>0</v>
      </c>
      <c r="G337">
        <v>170.66417999999999</v>
      </c>
      <c r="I337">
        <f t="shared" si="20"/>
        <v>0.45356478630764774</v>
      </c>
      <c r="J337">
        <f t="shared" si="21"/>
        <v>0</v>
      </c>
      <c r="K337">
        <f t="shared" si="22"/>
        <v>0</v>
      </c>
      <c r="L337">
        <f t="shared" si="23"/>
        <v>0</v>
      </c>
    </row>
    <row r="338" spans="1:12" x14ac:dyDescent="0.35">
      <c r="A338" s="1" t="s">
        <v>59</v>
      </c>
      <c r="B338">
        <v>0.41782864199999997</v>
      </c>
      <c r="C338">
        <v>5.4992000000000001E-3</v>
      </c>
      <c r="D338">
        <v>0</v>
      </c>
      <c r="E338">
        <v>0</v>
      </c>
      <c r="F338">
        <v>0</v>
      </c>
      <c r="G338">
        <v>171.08201</v>
      </c>
      <c r="I338">
        <f t="shared" si="20"/>
        <v>0.26340975432619773</v>
      </c>
      <c r="J338">
        <f t="shared" si="21"/>
        <v>0</v>
      </c>
      <c r="K338">
        <f t="shared" si="22"/>
        <v>0</v>
      </c>
      <c r="L338">
        <f t="shared" si="23"/>
        <v>0</v>
      </c>
    </row>
    <row r="339" spans="1:12" x14ac:dyDescent="0.35">
      <c r="A339" s="1" t="s">
        <v>60</v>
      </c>
      <c r="B339">
        <v>0.41782827500000003</v>
      </c>
      <c r="C339">
        <v>4.1392E-3</v>
      </c>
      <c r="D339">
        <v>0</v>
      </c>
      <c r="E339">
        <v>0</v>
      </c>
      <c r="F339">
        <v>0</v>
      </c>
      <c r="G339">
        <v>171.49984000000001</v>
      </c>
      <c r="I339">
        <f t="shared" si="20"/>
        <v>0.19826640470947862</v>
      </c>
      <c r="J339">
        <f t="shared" si="21"/>
        <v>0</v>
      </c>
      <c r="K339">
        <f t="shared" si="22"/>
        <v>0</v>
      </c>
      <c r="L339">
        <f t="shared" si="23"/>
        <v>0</v>
      </c>
    </row>
    <row r="340" spans="1:12" x14ac:dyDescent="0.35">
      <c r="A340" s="1" t="s">
        <v>61</v>
      </c>
      <c r="B340">
        <v>0.41782808399999999</v>
      </c>
      <c r="C340">
        <v>3.2192000000000002E-3</v>
      </c>
      <c r="D340">
        <v>0</v>
      </c>
      <c r="E340">
        <v>0</v>
      </c>
      <c r="F340">
        <v>0</v>
      </c>
      <c r="G340">
        <v>171.91766999999999</v>
      </c>
      <c r="I340">
        <f t="shared" si="20"/>
        <v>0.15419875865034546</v>
      </c>
      <c r="J340">
        <f t="shared" si="21"/>
        <v>0</v>
      </c>
      <c r="K340">
        <f t="shared" si="22"/>
        <v>0</v>
      </c>
      <c r="L340">
        <f t="shared" si="23"/>
        <v>0</v>
      </c>
    </row>
    <row r="341" spans="1:12" x14ac:dyDescent="0.35">
      <c r="A341" s="1" t="s">
        <v>62</v>
      </c>
      <c r="B341">
        <v>0.41782794400000001</v>
      </c>
      <c r="C341">
        <v>2.3392E-3</v>
      </c>
      <c r="D341">
        <v>0</v>
      </c>
      <c r="E341">
        <v>0</v>
      </c>
      <c r="F341">
        <v>0</v>
      </c>
      <c r="G341">
        <v>172.3355</v>
      </c>
      <c r="I341">
        <f t="shared" si="20"/>
        <v>0.11204704805350077</v>
      </c>
      <c r="J341">
        <f t="shared" si="21"/>
        <v>0</v>
      </c>
      <c r="K341">
        <f t="shared" si="22"/>
        <v>0</v>
      </c>
      <c r="L341">
        <f t="shared" si="23"/>
        <v>0</v>
      </c>
    </row>
    <row r="342" spans="1:12" x14ac:dyDescent="0.35">
      <c r="A342" s="1" t="s">
        <v>63</v>
      </c>
      <c r="B342">
        <v>0.21199999999999999</v>
      </c>
      <c r="C342">
        <v>0</v>
      </c>
      <c r="D342">
        <v>-2.3709669899999999</v>
      </c>
      <c r="E342">
        <v>0</v>
      </c>
      <c r="F342">
        <v>0</v>
      </c>
      <c r="G342">
        <v>172.59450000000001</v>
      </c>
      <c r="I342">
        <f t="shared" si="20"/>
        <v>0</v>
      </c>
      <c r="J342">
        <f t="shared" si="21"/>
        <v>-47.452167353748784</v>
      </c>
      <c r="K342">
        <f t="shared" si="22"/>
        <v>0</v>
      </c>
      <c r="L342">
        <f t="shared" si="23"/>
        <v>0</v>
      </c>
    </row>
    <row r="343" spans="1:12" x14ac:dyDescent="0.35">
      <c r="A343" s="1" t="s">
        <v>64</v>
      </c>
      <c r="B343">
        <v>0.16600000000000001</v>
      </c>
      <c r="C343">
        <v>0</v>
      </c>
      <c r="D343">
        <v>0</v>
      </c>
      <c r="E343">
        <v>-132.861086</v>
      </c>
      <c r="F343">
        <v>0</v>
      </c>
      <c r="G343">
        <v>172.8355</v>
      </c>
      <c r="I343">
        <f t="shared" si="20"/>
        <v>0</v>
      </c>
      <c r="J343">
        <f t="shared" si="21"/>
        <v>0</v>
      </c>
      <c r="K343">
        <f t="shared" si="22"/>
        <v>-2659.0612666744933</v>
      </c>
      <c r="L343">
        <f t="shared" si="23"/>
        <v>0</v>
      </c>
    </row>
    <row r="344" spans="1:12" x14ac:dyDescent="0.35">
      <c r="A344" s="1" t="s">
        <v>65</v>
      </c>
      <c r="B344">
        <v>0.21199999999999999</v>
      </c>
      <c r="C344">
        <v>0</v>
      </c>
      <c r="D344">
        <v>2.47240752</v>
      </c>
      <c r="E344">
        <v>0</v>
      </c>
      <c r="F344">
        <v>0</v>
      </c>
      <c r="G344">
        <v>173.64834999999999</v>
      </c>
      <c r="I344">
        <f t="shared" si="20"/>
        <v>0</v>
      </c>
      <c r="J344">
        <f t="shared" si="21"/>
        <v>49.48238246273813</v>
      </c>
      <c r="K344">
        <f t="shared" si="22"/>
        <v>0</v>
      </c>
      <c r="L344">
        <f t="shared" si="23"/>
        <v>0</v>
      </c>
    </row>
    <row r="345" spans="1:12" x14ac:dyDescent="0.35">
      <c r="A345" s="1" t="s">
        <v>66</v>
      </c>
      <c r="B345">
        <v>0.1</v>
      </c>
      <c r="C345">
        <v>0</v>
      </c>
      <c r="D345">
        <v>0</v>
      </c>
      <c r="E345">
        <v>172.62799999999999</v>
      </c>
      <c r="F345">
        <v>0</v>
      </c>
      <c r="G345">
        <v>173.82335</v>
      </c>
      <c r="I345">
        <f t="shared" si="20"/>
        <v>0</v>
      </c>
      <c r="J345">
        <f t="shared" si="21"/>
        <v>0</v>
      </c>
      <c r="K345">
        <f t="shared" si="22"/>
        <v>3454.9501450220296</v>
      </c>
      <c r="L345">
        <f t="shared" si="23"/>
        <v>0</v>
      </c>
    </row>
    <row r="346" spans="1:12" x14ac:dyDescent="0.35">
      <c r="A346" s="1" t="s">
        <v>66</v>
      </c>
      <c r="B346">
        <v>0.1</v>
      </c>
      <c r="C346">
        <v>0</v>
      </c>
      <c r="D346">
        <v>0</v>
      </c>
      <c r="E346">
        <v>172.62799999999999</v>
      </c>
      <c r="F346">
        <v>0</v>
      </c>
      <c r="G346">
        <f>173.82335+0.1</f>
        <v>173.92335</v>
      </c>
      <c r="I346">
        <f t="shared" si="20"/>
        <v>0</v>
      </c>
      <c r="J346">
        <f t="shared" si="21"/>
        <v>0</v>
      </c>
      <c r="K346">
        <f t="shared" si="22"/>
        <v>3454.9501450220296</v>
      </c>
      <c r="L346">
        <f t="shared" si="23"/>
        <v>0</v>
      </c>
    </row>
    <row r="347" spans="1:12" x14ac:dyDescent="0.35">
      <c r="A347" s="1" t="s">
        <v>67</v>
      </c>
      <c r="B347">
        <v>0.21199999999999999</v>
      </c>
      <c r="C347">
        <v>0</v>
      </c>
      <c r="D347">
        <v>2.47240752</v>
      </c>
      <c r="E347">
        <v>0</v>
      </c>
      <c r="F347">
        <v>0</v>
      </c>
      <c r="G347">
        <v>174.21035000000001</v>
      </c>
      <c r="I347">
        <f t="shared" si="20"/>
        <v>0</v>
      </c>
      <c r="J347">
        <f t="shared" si="21"/>
        <v>49.48238246273813</v>
      </c>
      <c r="K347">
        <f t="shared" si="22"/>
        <v>0</v>
      </c>
      <c r="L347">
        <f t="shared" si="23"/>
        <v>0</v>
      </c>
    </row>
    <row r="348" spans="1:12" x14ac:dyDescent="0.35">
      <c r="A348" s="1" t="s">
        <v>68</v>
      </c>
      <c r="B348">
        <v>0.09</v>
      </c>
      <c r="C348">
        <v>0</v>
      </c>
      <c r="D348">
        <v>0</v>
      </c>
      <c r="E348">
        <v>0</v>
      </c>
      <c r="F348">
        <v>-13632</v>
      </c>
      <c r="G348">
        <v>174.36035000000001</v>
      </c>
      <c r="I348">
        <f t="shared" si="20"/>
        <v>0</v>
      </c>
      <c r="J348">
        <f t="shared" si="21"/>
        <v>0</v>
      </c>
      <c r="K348">
        <f t="shared" si="22"/>
        <v>0</v>
      </c>
      <c r="L348">
        <f t="shared" si="23"/>
        <v>-272828.74375501258</v>
      </c>
    </row>
    <row r="349" spans="1:12" x14ac:dyDescent="0.35">
      <c r="A349" s="1" t="s">
        <v>69</v>
      </c>
      <c r="B349">
        <v>0.16600000000000001</v>
      </c>
      <c r="C349">
        <v>0</v>
      </c>
      <c r="D349">
        <v>0</v>
      </c>
      <c r="E349">
        <v>-202.23429300000001</v>
      </c>
      <c r="F349">
        <v>0</v>
      </c>
      <c r="G349">
        <v>174.97720000000001</v>
      </c>
      <c r="I349">
        <f t="shared" si="20"/>
        <v>0</v>
      </c>
      <c r="J349">
        <f t="shared" si="21"/>
        <v>0</v>
      </c>
      <c r="K349">
        <f t="shared" si="22"/>
        <v>-4047.4859230760812</v>
      </c>
      <c r="L349">
        <f t="shared" si="23"/>
        <v>0</v>
      </c>
    </row>
    <row r="350" spans="1:12" x14ac:dyDescent="0.35">
      <c r="A350" s="1" t="s">
        <v>70</v>
      </c>
      <c r="B350">
        <v>0.21199999999999999</v>
      </c>
      <c r="C350">
        <v>0</v>
      </c>
      <c r="D350">
        <v>-2.53358734</v>
      </c>
      <c r="E350">
        <v>0</v>
      </c>
      <c r="F350">
        <v>0</v>
      </c>
      <c r="G350">
        <v>175.26419999999999</v>
      </c>
      <c r="I350">
        <f t="shared" si="20"/>
        <v>0</v>
      </c>
      <c r="J350">
        <f t="shared" si="21"/>
        <v>-50.706825936458621</v>
      </c>
      <c r="K350">
        <f t="shared" si="22"/>
        <v>0</v>
      </c>
      <c r="L350">
        <f t="shared" si="23"/>
        <v>0</v>
      </c>
    </row>
    <row r="351" spans="1:12" x14ac:dyDescent="0.35">
      <c r="A351" s="1" t="s">
        <v>20</v>
      </c>
      <c r="B351">
        <v>0.41782794400000001</v>
      </c>
      <c r="C351">
        <v>2.3392E-3</v>
      </c>
      <c r="D351">
        <v>0</v>
      </c>
      <c r="E351">
        <v>0</v>
      </c>
      <c r="F351">
        <v>0</v>
      </c>
      <c r="G351">
        <v>175.72902999999999</v>
      </c>
      <c r="I351">
        <f t="shared" si="20"/>
        <v>0.11204704805350077</v>
      </c>
      <c r="J351">
        <f t="shared" si="21"/>
        <v>0</v>
      </c>
      <c r="K351">
        <f t="shared" si="22"/>
        <v>0</v>
      </c>
      <c r="L351">
        <f t="shared" si="23"/>
        <v>0</v>
      </c>
    </row>
    <row r="352" spans="1:12" x14ac:dyDescent="0.35">
      <c r="A352" s="1" t="s">
        <v>21</v>
      </c>
      <c r="B352">
        <v>0.41782808399999999</v>
      </c>
      <c r="C352">
        <v>3.2192000000000002E-3</v>
      </c>
      <c r="D352">
        <v>0</v>
      </c>
      <c r="E352">
        <v>0</v>
      </c>
      <c r="F352">
        <v>0</v>
      </c>
      <c r="G352">
        <v>176.14686</v>
      </c>
      <c r="I352">
        <f t="shared" si="20"/>
        <v>0.15419875865034546</v>
      </c>
      <c r="J352">
        <f t="shared" si="21"/>
        <v>0</v>
      </c>
      <c r="K352">
        <f t="shared" si="22"/>
        <v>0</v>
      </c>
      <c r="L352">
        <f t="shared" si="23"/>
        <v>0</v>
      </c>
    </row>
    <row r="353" spans="1:12" x14ac:dyDescent="0.35">
      <c r="A353" s="1" t="s">
        <v>22</v>
      </c>
      <c r="B353">
        <v>0.41782827500000003</v>
      </c>
      <c r="C353">
        <v>4.1392E-3</v>
      </c>
      <c r="D353">
        <v>0</v>
      </c>
      <c r="E353">
        <v>0</v>
      </c>
      <c r="F353">
        <v>0</v>
      </c>
      <c r="G353">
        <v>176.56469000000001</v>
      </c>
      <c r="I353">
        <f t="shared" si="20"/>
        <v>0.19826640470947862</v>
      </c>
      <c r="J353">
        <f t="shared" si="21"/>
        <v>0</v>
      </c>
      <c r="K353">
        <f t="shared" si="22"/>
        <v>0</v>
      </c>
      <c r="L353">
        <f t="shared" si="23"/>
        <v>0</v>
      </c>
    </row>
    <row r="354" spans="1:12" x14ac:dyDescent="0.35">
      <c r="A354" s="1" t="s">
        <v>23</v>
      </c>
      <c r="B354">
        <v>0.41782864199999997</v>
      </c>
      <c r="C354">
        <v>5.4992000000000001E-3</v>
      </c>
      <c r="D354">
        <v>0</v>
      </c>
      <c r="E354">
        <v>0</v>
      </c>
      <c r="F354">
        <v>0</v>
      </c>
      <c r="G354">
        <v>176.98251999999999</v>
      </c>
      <c r="I354">
        <f t="shared" si="20"/>
        <v>0.26340975432619773</v>
      </c>
      <c r="J354">
        <f t="shared" si="21"/>
        <v>0</v>
      </c>
      <c r="K354">
        <f t="shared" si="22"/>
        <v>0</v>
      </c>
      <c r="L354">
        <f t="shared" si="23"/>
        <v>0</v>
      </c>
    </row>
    <row r="355" spans="1:12" x14ac:dyDescent="0.35">
      <c r="A355" s="1" t="s">
        <v>24</v>
      </c>
      <c r="B355">
        <v>0.41782941899999998</v>
      </c>
      <c r="C355">
        <v>7.6290999999999998E-3</v>
      </c>
      <c r="D355">
        <v>0</v>
      </c>
      <c r="E355">
        <v>0</v>
      </c>
      <c r="F355">
        <v>0</v>
      </c>
      <c r="G355">
        <v>177.40035</v>
      </c>
      <c r="I355">
        <f t="shared" si="20"/>
        <v>0.36543053893202671</v>
      </c>
      <c r="J355">
        <f t="shared" si="21"/>
        <v>0</v>
      </c>
      <c r="K355">
        <f t="shared" si="22"/>
        <v>0</v>
      </c>
      <c r="L355">
        <f t="shared" si="23"/>
        <v>0</v>
      </c>
    </row>
    <row r="356" spans="1:12" x14ac:dyDescent="0.35">
      <c r="A356" s="1" t="s">
        <v>71</v>
      </c>
      <c r="B356">
        <v>0.3745</v>
      </c>
      <c r="C356">
        <v>0</v>
      </c>
      <c r="D356">
        <v>4.5116622</v>
      </c>
      <c r="E356">
        <v>0</v>
      </c>
      <c r="F356">
        <v>0</v>
      </c>
      <c r="G356">
        <v>177.92484999999999</v>
      </c>
      <c r="I356">
        <f t="shared" si="20"/>
        <v>0</v>
      </c>
      <c r="J356">
        <f t="shared" si="21"/>
        <v>90.29571084748946</v>
      </c>
      <c r="K356">
        <f t="shared" si="22"/>
        <v>0</v>
      </c>
      <c r="L356">
        <f t="shared" si="23"/>
        <v>0</v>
      </c>
    </row>
    <row r="357" spans="1:12" x14ac:dyDescent="0.35">
      <c r="A357" s="1" t="s">
        <v>72</v>
      </c>
      <c r="B357">
        <v>1.0280365199999999</v>
      </c>
      <c r="C357">
        <v>2.4767999999999998E-2</v>
      </c>
      <c r="D357">
        <v>-1.929</v>
      </c>
      <c r="E357">
        <v>0</v>
      </c>
      <c r="F357">
        <v>0</v>
      </c>
      <c r="G357">
        <v>179.04288</v>
      </c>
      <c r="I357">
        <f t="shared" si="20"/>
        <v>0.48218416286837618</v>
      </c>
      <c r="J357">
        <f t="shared" si="21"/>
        <v>-38.606708238220314</v>
      </c>
      <c r="K357">
        <f t="shared" si="22"/>
        <v>0</v>
      </c>
      <c r="L357">
        <f t="shared" si="23"/>
        <v>0</v>
      </c>
    </row>
    <row r="358" spans="1:12" x14ac:dyDescent="0.35">
      <c r="A358" s="1" t="s">
        <v>73</v>
      </c>
      <c r="B358">
        <v>0.4975</v>
      </c>
      <c r="C358">
        <v>0</v>
      </c>
      <c r="D358">
        <v>4.61414189</v>
      </c>
      <c r="E358">
        <v>0</v>
      </c>
      <c r="F358">
        <v>0</v>
      </c>
      <c r="G358">
        <v>179.63038</v>
      </c>
      <c r="I358">
        <f t="shared" si="20"/>
        <v>0</v>
      </c>
      <c r="J358">
        <f t="shared" si="21"/>
        <v>92.346723544313335</v>
      </c>
      <c r="K358">
        <f t="shared" si="22"/>
        <v>0</v>
      </c>
      <c r="L358">
        <f t="shared" si="23"/>
        <v>0</v>
      </c>
    </row>
    <row r="359" spans="1:12" x14ac:dyDescent="0.35">
      <c r="A359" s="1" t="s">
        <v>28</v>
      </c>
      <c r="B359">
        <v>0.1</v>
      </c>
      <c r="C359">
        <v>0</v>
      </c>
      <c r="D359">
        <v>0</v>
      </c>
      <c r="E359">
        <v>0</v>
      </c>
      <c r="F359">
        <v>0</v>
      </c>
      <c r="G359">
        <v>179.80144999999999</v>
      </c>
      <c r="I359">
        <f t="shared" si="20"/>
        <v>0</v>
      </c>
      <c r="J359">
        <f t="shared" si="21"/>
        <v>0</v>
      </c>
      <c r="K359">
        <f t="shared" si="22"/>
        <v>0</v>
      </c>
      <c r="L359">
        <f t="shared" si="23"/>
        <v>0</v>
      </c>
    </row>
    <row r="360" spans="1:12" x14ac:dyDescent="0.35">
      <c r="A360" s="1" t="s">
        <v>74</v>
      </c>
      <c r="B360">
        <v>0.40000102700000001</v>
      </c>
      <c r="C360">
        <v>5.2300999999999997E-3</v>
      </c>
      <c r="D360">
        <v>-1.5815999999999999</v>
      </c>
      <c r="E360">
        <v>0</v>
      </c>
      <c r="F360">
        <v>0</v>
      </c>
      <c r="G360">
        <v>180.29445000000001</v>
      </c>
      <c r="I360">
        <f t="shared" si="20"/>
        <v>0.26168536331815889</v>
      </c>
      <c r="J360">
        <f t="shared" si="21"/>
        <v>-31.653898263125576</v>
      </c>
      <c r="K360">
        <f t="shared" si="22"/>
        <v>0</v>
      </c>
      <c r="L360">
        <f t="shared" si="23"/>
        <v>0</v>
      </c>
    </row>
    <row r="361" spans="1:12" x14ac:dyDescent="0.35">
      <c r="A361" s="1" t="s">
        <v>30</v>
      </c>
      <c r="B361">
        <v>2.44294E-2</v>
      </c>
      <c r="C361">
        <v>1.0499000000000001E-3</v>
      </c>
      <c r="D361">
        <v>0</v>
      </c>
      <c r="E361">
        <v>0</v>
      </c>
      <c r="F361">
        <v>0</v>
      </c>
      <c r="G361">
        <v>180.38937999999999</v>
      </c>
      <c r="I361">
        <f t="shared" si="20"/>
        <v>0.8601331402616047</v>
      </c>
      <c r="J361">
        <f t="shared" si="21"/>
        <v>0</v>
      </c>
      <c r="K361">
        <f t="shared" si="22"/>
        <v>0</v>
      </c>
      <c r="L361">
        <f t="shared" si="23"/>
        <v>0</v>
      </c>
    </row>
    <row r="362" spans="1:12" x14ac:dyDescent="0.35">
      <c r="A362" s="1" t="s">
        <v>30</v>
      </c>
      <c r="B362">
        <v>2.44294E-2</v>
      </c>
      <c r="C362">
        <v>1.0499000000000001E-3</v>
      </c>
      <c r="D362">
        <v>0</v>
      </c>
      <c r="E362">
        <v>0</v>
      </c>
      <c r="F362">
        <v>0</v>
      </c>
      <c r="G362">
        <f>180.38938+0.0244294</f>
        <v>180.41380939999999</v>
      </c>
      <c r="I362">
        <f t="shared" si="20"/>
        <v>0.8601331402616047</v>
      </c>
      <c r="J362">
        <f t="shared" si="21"/>
        <v>0</v>
      </c>
      <c r="K362">
        <f t="shared" si="22"/>
        <v>0</v>
      </c>
      <c r="L362">
        <f t="shared" si="23"/>
        <v>0</v>
      </c>
    </row>
    <row r="363" spans="1:12" x14ac:dyDescent="0.35">
      <c r="A363" s="1" t="s">
        <v>75</v>
      </c>
      <c r="B363">
        <v>0.40000102700000001</v>
      </c>
      <c r="C363">
        <v>5.2300999999999997E-3</v>
      </c>
      <c r="D363">
        <v>-1.5815999999999999</v>
      </c>
      <c r="E363">
        <v>0</v>
      </c>
      <c r="F363">
        <v>0</v>
      </c>
      <c r="G363">
        <v>180.88431</v>
      </c>
      <c r="I363">
        <f t="shared" si="20"/>
        <v>0.26168536331815889</v>
      </c>
      <c r="J363">
        <f t="shared" si="21"/>
        <v>-31.653898263125576</v>
      </c>
      <c r="K363">
        <f t="shared" si="22"/>
        <v>0</v>
      </c>
      <c r="L363">
        <f t="shared" si="23"/>
        <v>0</v>
      </c>
    </row>
    <row r="364" spans="1:12" x14ac:dyDescent="0.35">
      <c r="A364" s="1" t="s">
        <v>76</v>
      </c>
      <c r="B364">
        <v>0.4975</v>
      </c>
      <c r="C364">
        <v>0</v>
      </c>
      <c r="D364">
        <v>4.61414189</v>
      </c>
      <c r="E364">
        <v>0</v>
      </c>
      <c r="F364">
        <v>0</v>
      </c>
      <c r="G364">
        <v>181.64588000000001</v>
      </c>
      <c r="I364">
        <f t="shared" si="20"/>
        <v>0</v>
      </c>
      <c r="J364">
        <f t="shared" si="21"/>
        <v>92.346723544313335</v>
      </c>
      <c r="K364">
        <f t="shared" si="22"/>
        <v>0</v>
      </c>
      <c r="L364">
        <f t="shared" si="23"/>
        <v>0</v>
      </c>
    </row>
    <row r="365" spans="1:12" x14ac:dyDescent="0.35">
      <c r="A365" s="1" t="s">
        <v>77</v>
      </c>
      <c r="B365">
        <v>1.0280365199999999</v>
      </c>
      <c r="C365">
        <v>2.4767999999999998E-2</v>
      </c>
      <c r="D365">
        <v>-1.929</v>
      </c>
      <c r="E365">
        <v>0</v>
      </c>
      <c r="F365">
        <v>0</v>
      </c>
      <c r="G365">
        <v>182.76392000000001</v>
      </c>
      <c r="I365">
        <f t="shared" si="20"/>
        <v>0.48218416286837618</v>
      </c>
      <c r="J365">
        <f t="shared" si="21"/>
        <v>-38.606708238220314</v>
      </c>
      <c r="K365">
        <f t="shared" si="22"/>
        <v>0</v>
      </c>
      <c r="L365">
        <f t="shared" si="23"/>
        <v>0</v>
      </c>
    </row>
    <row r="366" spans="1:12" x14ac:dyDescent="0.35">
      <c r="A366" s="1" t="s">
        <v>78</v>
      </c>
      <c r="B366">
        <v>0.3745</v>
      </c>
      <c r="C366">
        <v>0</v>
      </c>
      <c r="D366">
        <v>4.5116622</v>
      </c>
      <c r="E366">
        <v>0</v>
      </c>
      <c r="F366">
        <v>0</v>
      </c>
      <c r="G366">
        <v>183.22842</v>
      </c>
      <c r="I366">
        <f t="shared" si="20"/>
        <v>0</v>
      </c>
      <c r="J366">
        <f t="shared" si="21"/>
        <v>90.29571084748946</v>
      </c>
      <c r="K366">
        <f t="shared" si="22"/>
        <v>0</v>
      </c>
      <c r="L366">
        <f t="shared" si="23"/>
        <v>0</v>
      </c>
    </row>
    <row r="367" spans="1:12" x14ac:dyDescent="0.35">
      <c r="A367" s="1" t="s">
        <v>35</v>
      </c>
      <c r="B367">
        <v>0.41782941899999998</v>
      </c>
      <c r="C367">
        <v>7.6290999999999998E-3</v>
      </c>
      <c r="D367">
        <v>0</v>
      </c>
      <c r="E367">
        <v>0</v>
      </c>
      <c r="F367">
        <v>0</v>
      </c>
      <c r="G367">
        <v>183.79624999999999</v>
      </c>
      <c r="I367">
        <f t="shared" si="20"/>
        <v>0.36543053893202671</v>
      </c>
      <c r="J367">
        <f t="shared" si="21"/>
        <v>0</v>
      </c>
      <c r="K367">
        <f t="shared" si="22"/>
        <v>0</v>
      </c>
      <c r="L367">
        <f t="shared" si="23"/>
        <v>0</v>
      </c>
    </row>
    <row r="368" spans="1:12" x14ac:dyDescent="0.35">
      <c r="A368" s="1" t="s">
        <v>36</v>
      </c>
      <c r="B368">
        <v>0.41782864199999997</v>
      </c>
      <c r="C368">
        <v>5.4992000000000001E-3</v>
      </c>
      <c r="D368">
        <v>0</v>
      </c>
      <c r="E368">
        <v>0</v>
      </c>
      <c r="F368">
        <v>0</v>
      </c>
      <c r="G368">
        <v>184.21408</v>
      </c>
      <c r="I368">
        <f t="shared" si="20"/>
        <v>0.26340975432619773</v>
      </c>
      <c r="J368">
        <f t="shared" si="21"/>
        <v>0</v>
      </c>
      <c r="K368">
        <f t="shared" si="22"/>
        <v>0</v>
      </c>
      <c r="L368">
        <f t="shared" si="23"/>
        <v>0</v>
      </c>
    </row>
    <row r="369" spans="1:12" x14ac:dyDescent="0.35">
      <c r="A369" s="1" t="s">
        <v>37</v>
      </c>
      <c r="B369">
        <v>0.41782827500000003</v>
      </c>
      <c r="C369">
        <v>4.1392E-3</v>
      </c>
      <c r="D369">
        <v>0</v>
      </c>
      <c r="E369">
        <v>0</v>
      </c>
      <c r="F369">
        <v>0</v>
      </c>
      <c r="G369">
        <v>184.63191</v>
      </c>
      <c r="I369">
        <f t="shared" si="20"/>
        <v>0.19826640470947862</v>
      </c>
      <c r="J369">
        <f t="shared" si="21"/>
        <v>0</v>
      </c>
      <c r="K369">
        <f t="shared" si="22"/>
        <v>0</v>
      </c>
      <c r="L369">
        <f t="shared" si="23"/>
        <v>0</v>
      </c>
    </row>
    <row r="370" spans="1:12" x14ac:dyDescent="0.35">
      <c r="A370" s="1" t="s">
        <v>38</v>
      </c>
      <c r="B370">
        <v>0.41782808399999999</v>
      </c>
      <c r="C370">
        <v>3.2192000000000002E-3</v>
      </c>
      <c r="D370">
        <v>0</v>
      </c>
      <c r="E370">
        <v>0</v>
      </c>
      <c r="F370">
        <v>0</v>
      </c>
      <c r="G370">
        <v>185.04974000000001</v>
      </c>
      <c r="I370">
        <f t="shared" si="20"/>
        <v>0.15419875865034546</v>
      </c>
      <c r="J370">
        <f t="shared" si="21"/>
        <v>0</v>
      </c>
      <c r="K370">
        <f t="shared" si="22"/>
        <v>0</v>
      </c>
      <c r="L370">
        <f t="shared" si="23"/>
        <v>0</v>
      </c>
    </row>
    <row r="371" spans="1:12" x14ac:dyDescent="0.35">
      <c r="A371" s="1" t="s">
        <v>39</v>
      </c>
      <c r="B371">
        <v>0.41782794400000001</v>
      </c>
      <c r="C371">
        <v>2.3392E-3</v>
      </c>
      <c r="D371">
        <v>0</v>
      </c>
      <c r="E371">
        <v>0</v>
      </c>
      <c r="F371">
        <v>0</v>
      </c>
      <c r="G371">
        <v>185.46755999999999</v>
      </c>
      <c r="I371">
        <f t="shared" si="20"/>
        <v>0.11204704805350077</v>
      </c>
      <c r="J371">
        <f t="shared" si="21"/>
        <v>0</v>
      </c>
      <c r="K371">
        <f t="shared" si="22"/>
        <v>0</v>
      </c>
      <c r="L371">
        <f t="shared" si="23"/>
        <v>0</v>
      </c>
    </row>
    <row r="372" spans="1:12" x14ac:dyDescent="0.35">
      <c r="A372" s="1" t="s">
        <v>79</v>
      </c>
      <c r="B372">
        <v>0.21199999999999999</v>
      </c>
      <c r="C372">
        <v>0</v>
      </c>
      <c r="D372">
        <v>-2.53358734</v>
      </c>
      <c r="E372">
        <v>0</v>
      </c>
      <c r="F372">
        <v>0</v>
      </c>
      <c r="G372">
        <v>185.72656000000001</v>
      </c>
      <c r="I372">
        <f t="shared" si="20"/>
        <v>0</v>
      </c>
      <c r="J372">
        <f t="shared" si="21"/>
        <v>-50.706825936458621</v>
      </c>
      <c r="K372">
        <f t="shared" si="22"/>
        <v>0</v>
      </c>
      <c r="L372">
        <f t="shared" si="23"/>
        <v>0</v>
      </c>
    </row>
    <row r="373" spans="1:12" x14ac:dyDescent="0.35">
      <c r="A373" s="1" t="s">
        <v>80</v>
      </c>
      <c r="B373">
        <v>0.16600000000000001</v>
      </c>
      <c r="C373">
        <v>0</v>
      </c>
      <c r="D373">
        <v>0</v>
      </c>
      <c r="E373">
        <v>-202.23429300000001</v>
      </c>
      <c r="F373">
        <v>0</v>
      </c>
      <c r="G373">
        <v>185.96755999999999</v>
      </c>
      <c r="I373">
        <f t="shared" si="20"/>
        <v>0</v>
      </c>
      <c r="J373">
        <f t="shared" si="21"/>
        <v>0</v>
      </c>
      <c r="K373">
        <f t="shared" si="22"/>
        <v>-4047.4859230760812</v>
      </c>
      <c r="L373">
        <f t="shared" si="23"/>
        <v>0</v>
      </c>
    </row>
    <row r="374" spans="1:12" x14ac:dyDescent="0.35">
      <c r="A374" s="1" t="s">
        <v>81</v>
      </c>
      <c r="B374">
        <v>0.09</v>
      </c>
      <c r="C374">
        <v>0</v>
      </c>
      <c r="D374">
        <v>0</v>
      </c>
      <c r="E374">
        <v>0</v>
      </c>
      <c r="F374">
        <v>-13632</v>
      </c>
      <c r="G374">
        <v>186.50842</v>
      </c>
      <c r="I374">
        <f t="shared" si="20"/>
        <v>0</v>
      </c>
      <c r="J374">
        <f t="shared" si="21"/>
        <v>0</v>
      </c>
      <c r="K374">
        <f t="shared" si="22"/>
        <v>0</v>
      </c>
      <c r="L374">
        <f t="shared" si="23"/>
        <v>-272828.74375501258</v>
      </c>
    </row>
    <row r="375" spans="1:12" x14ac:dyDescent="0.35">
      <c r="A375" s="1" t="s">
        <v>82</v>
      </c>
      <c r="B375">
        <v>0.21199999999999999</v>
      </c>
      <c r="C375">
        <v>0</v>
      </c>
      <c r="D375">
        <v>2.47240752</v>
      </c>
      <c r="E375">
        <v>0</v>
      </c>
      <c r="F375">
        <v>0</v>
      </c>
      <c r="G375">
        <v>186.78041999999999</v>
      </c>
      <c r="I375">
        <f t="shared" si="20"/>
        <v>0</v>
      </c>
      <c r="J375">
        <f t="shared" si="21"/>
        <v>49.48238246273813</v>
      </c>
      <c r="K375">
        <f t="shared" si="22"/>
        <v>0</v>
      </c>
      <c r="L375">
        <f t="shared" si="23"/>
        <v>0</v>
      </c>
    </row>
    <row r="376" spans="1:12" x14ac:dyDescent="0.35">
      <c r="A376" s="1" t="s">
        <v>83</v>
      </c>
      <c r="B376">
        <v>0.1</v>
      </c>
      <c r="C376">
        <v>0</v>
      </c>
      <c r="D376">
        <v>0</v>
      </c>
      <c r="E376">
        <v>172.62799999999999</v>
      </c>
      <c r="F376">
        <v>0</v>
      </c>
      <c r="G376">
        <v>186.95542</v>
      </c>
      <c r="I376">
        <f t="shared" si="20"/>
        <v>0</v>
      </c>
      <c r="J376">
        <f t="shared" si="21"/>
        <v>0</v>
      </c>
      <c r="K376">
        <f t="shared" si="22"/>
        <v>3454.9501450220296</v>
      </c>
      <c r="L376">
        <f t="shared" si="23"/>
        <v>0</v>
      </c>
    </row>
    <row r="377" spans="1:12" x14ac:dyDescent="0.35">
      <c r="A377" s="1" t="s">
        <v>83</v>
      </c>
      <c r="B377">
        <v>0.1</v>
      </c>
      <c r="C377">
        <v>0</v>
      </c>
      <c r="D377">
        <v>0</v>
      </c>
      <c r="E377">
        <v>172.62799999999999</v>
      </c>
      <c r="F377">
        <v>0</v>
      </c>
      <c r="G377">
        <f>0.1+186.95542</f>
        <v>187.05542</v>
      </c>
      <c r="I377">
        <f t="shared" si="20"/>
        <v>0</v>
      </c>
      <c r="J377">
        <f t="shared" si="21"/>
        <v>0</v>
      </c>
      <c r="K377">
        <f t="shared" si="22"/>
        <v>3454.9501450220296</v>
      </c>
      <c r="L377">
        <f t="shared" si="23"/>
        <v>0</v>
      </c>
    </row>
    <row r="378" spans="1:12" x14ac:dyDescent="0.35">
      <c r="A378" s="1" t="s">
        <v>84</v>
      </c>
      <c r="B378">
        <v>0.21199999999999999</v>
      </c>
      <c r="C378">
        <v>0</v>
      </c>
      <c r="D378">
        <v>2.47240752</v>
      </c>
      <c r="E378">
        <v>0</v>
      </c>
      <c r="F378">
        <v>0</v>
      </c>
      <c r="G378">
        <v>187.34242</v>
      </c>
      <c r="I378">
        <f t="shared" si="20"/>
        <v>0</v>
      </c>
      <c r="J378">
        <f t="shared" si="21"/>
        <v>49.48238246273813</v>
      </c>
      <c r="K378">
        <f t="shared" si="22"/>
        <v>0</v>
      </c>
      <c r="L378">
        <f t="shared" si="23"/>
        <v>0</v>
      </c>
    </row>
    <row r="379" spans="1:12" x14ac:dyDescent="0.35">
      <c r="A379" s="1" t="s">
        <v>85</v>
      </c>
      <c r="B379">
        <v>0.16600000000000001</v>
      </c>
      <c r="C379">
        <v>0</v>
      </c>
      <c r="D379">
        <v>0</v>
      </c>
      <c r="E379">
        <v>-132.861086</v>
      </c>
      <c r="F379">
        <v>0</v>
      </c>
      <c r="G379">
        <v>188.10927000000001</v>
      </c>
      <c r="I379">
        <f t="shared" si="20"/>
        <v>0</v>
      </c>
      <c r="J379">
        <f t="shared" si="21"/>
        <v>0</v>
      </c>
      <c r="K379">
        <f t="shared" si="22"/>
        <v>-2659.0612666744933</v>
      </c>
      <c r="L379">
        <f t="shared" si="23"/>
        <v>0</v>
      </c>
    </row>
    <row r="380" spans="1:12" x14ac:dyDescent="0.35">
      <c r="A380" s="1" t="s">
        <v>86</v>
      </c>
      <c r="B380">
        <v>0.21199999999999999</v>
      </c>
      <c r="C380">
        <v>0</v>
      </c>
      <c r="D380">
        <v>-2.3709669899999999</v>
      </c>
      <c r="E380">
        <v>0</v>
      </c>
      <c r="F380">
        <v>0</v>
      </c>
      <c r="G380">
        <v>188.39626999999999</v>
      </c>
      <c r="I380">
        <f t="shared" si="20"/>
        <v>0</v>
      </c>
      <c r="J380">
        <f t="shared" si="21"/>
        <v>-47.452167353748784</v>
      </c>
      <c r="K380">
        <f t="shared" si="22"/>
        <v>0</v>
      </c>
      <c r="L380">
        <f t="shared" si="23"/>
        <v>0</v>
      </c>
    </row>
    <row r="381" spans="1:12" x14ac:dyDescent="0.35">
      <c r="A381" s="1" t="s">
        <v>48</v>
      </c>
      <c r="B381">
        <v>0.41782794400000001</v>
      </c>
      <c r="C381">
        <v>2.3392E-3</v>
      </c>
      <c r="D381">
        <v>0</v>
      </c>
      <c r="E381">
        <v>0</v>
      </c>
      <c r="F381">
        <v>0</v>
      </c>
      <c r="G381">
        <v>188.86109999999999</v>
      </c>
      <c r="I381">
        <f t="shared" si="20"/>
        <v>0.11204704805350077</v>
      </c>
      <c r="J381">
        <f t="shared" si="21"/>
        <v>0</v>
      </c>
      <c r="K381">
        <f t="shared" si="22"/>
        <v>0</v>
      </c>
      <c r="L381">
        <f t="shared" si="23"/>
        <v>0</v>
      </c>
    </row>
    <row r="382" spans="1:12" x14ac:dyDescent="0.35">
      <c r="A382" s="1" t="s">
        <v>49</v>
      </c>
      <c r="B382">
        <v>0.41782808399999999</v>
      </c>
      <c r="C382">
        <v>3.2192000000000002E-3</v>
      </c>
      <c r="D382">
        <v>0</v>
      </c>
      <c r="E382">
        <v>0</v>
      </c>
      <c r="F382">
        <v>0</v>
      </c>
      <c r="G382">
        <v>189.27893</v>
      </c>
      <c r="I382">
        <f t="shared" si="20"/>
        <v>0.15419875865034546</v>
      </c>
      <c r="J382">
        <f t="shared" si="21"/>
        <v>0</v>
      </c>
      <c r="K382">
        <f t="shared" si="22"/>
        <v>0</v>
      </c>
      <c r="L382">
        <f t="shared" si="23"/>
        <v>0</v>
      </c>
    </row>
    <row r="383" spans="1:12" x14ac:dyDescent="0.35">
      <c r="A383" s="1" t="s">
        <v>50</v>
      </c>
      <c r="B383">
        <v>0.41782827500000003</v>
      </c>
      <c r="C383">
        <v>4.1392E-3</v>
      </c>
      <c r="D383">
        <v>0</v>
      </c>
      <c r="E383">
        <v>0</v>
      </c>
      <c r="F383">
        <v>0</v>
      </c>
      <c r="G383">
        <v>189.69675000000001</v>
      </c>
      <c r="I383">
        <f t="shared" si="20"/>
        <v>0.19826640470947862</v>
      </c>
      <c r="J383">
        <f t="shared" si="21"/>
        <v>0</v>
      </c>
      <c r="K383">
        <f t="shared" si="22"/>
        <v>0</v>
      </c>
      <c r="L383">
        <f t="shared" si="23"/>
        <v>0</v>
      </c>
    </row>
    <row r="384" spans="1:12" x14ac:dyDescent="0.35">
      <c r="A384" s="1" t="s">
        <v>51</v>
      </c>
      <c r="B384">
        <v>0.41782864199999997</v>
      </c>
      <c r="C384">
        <v>5.4992000000000001E-3</v>
      </c>
      <c r="D384">
        <v>0</v>
      </c>
      <c r="E384">
        <v>0</v>
      </c>
      <c r="F384">
        <v>0</v>
      </c>
      <c r="G384">
        <v>190.11457999999999</v>
      </c>
      <c r="I384">
        <f t="shared" si="20"/>
        <v>0.26340975432619773</v>
      </c>
      <c r="J384">
        <f t="shared" si="21"/>
        <v>0</v>
      </c>
      <c r="K384">
        <f t="shared" si="22"/>
        <v>0</v>
      </c>
      <c r="L384">
        <f t="shared" si="23"/>
        <v>0</v>
      </c>
    </row>
    <row r="385" spans="1:12" x14ac:dyDescent="0.35">
      <c r="A385" s="1" t="s">
        <v>52</v>
      </c>
      <c r="B385">
        <v>0.41783028900000002</v>
      </c>
      <c r="C385">
        <v>9.4690999999999994E-3</v>
      </c>
      <c r="D385">
        <v>0</v>
      </c>
      <c r="E385">
        <v>0</v>
      </c>
      <c r="F385">
        <v>0</v>
      </c>
      <c r="G385">
        <v>190.53241</v>
      </c>
      <c r="I385">
        <f t="shared" si="20"/>
        <v>0.45356478630764774</v>
      </c>
      <c r="J385">
        <f t="shared" si="21"/>
        <v>0</v>
      </c>
      <c r="K385">
        <f t="shared" si="22"/>
        <v>0</v>
      </c>
      <c r="L385">
        <f t="shared" si="23"/>
        <v>0</v>
      </c>
    </row>
    <row r="386" spans="1:12" x14ac:dyDescent="0.35">
      <c r="A386" s="1" t="s">
        <v>87</v>
      </c>
      <c r="B386">
        <v>0.16200000000000001</v>
      </c>
      <c r="C386">
        <v>0</v>
      </c>
      <c r="D386">
        <v>-2.8698264299999998</v>
      </c>
      <c r="E386">
        <v>0</v>
      </c>
      <c r="F386">
        <v>0</v>
      </c>
      <c r="G386">
        <v>190.74141</v>
      </c>
      <c r="I386">
        <f t="shared" si="20"/>
        <v>0</v>
      </c>
      <c r="J386">
        <f t="shared" si="21"/>
        <v>-57.436263181619168</v>
      </c>
      <c r="K386">
        <f t="shared" si="22"/>
        <v>0</v>
      </c>
      <c r="L386">
        <f t="shared" si="23"/>
        <v>0</v>
      </c>
    </row>
    <row r="387" spans="1:12" x14ac:dyDescent="0.35">
      <c r="A387" s="1" t="s">
        <v>54</v>
      </c>
      <c r="B387">
        <v>0.1</v>
      </c>
      <c r="C387">
        <v>0</v>
      </c>
      <c r="D387">
        <v>0</v>
      </c>
      <c r="E387">
        <v>0</v>
      </c>
      <c r="F387">
        <v>0</v>
      </c>
      <c r="G387">
        <v>191.07140999999999</v>
      </c>
      <c r="I387">
        <f t="shared" si="20"/>
        <v>0</v>
      </c>
      <c r="J387">
        <f t="shared" si="21"/>
        <v>0</v>
      </c>
      <c r="K387">
        <f t="shared" si="22"/>
        <v>0</v>
      </c>
      <c r="L387">
        <f t="shared" si="23"/>
        <v>0</v>
      </c>
    </row>
    <row r="388" spans="1:12" x14ac:dyDescent="0.35">
      <c r="A388" s="1" t="s">
        <v>88</v>
      </c>
      <c r="B388">
        <v>0.29499999999999998</v>
      </c>
      <c r="C388">
        <v>0</v>
      </c>
      <c r="D388">
        <v>2.43875777</v>
      </c>
      <c r="E388">
        <v>0</v>
      </c>
      <c r="F388">
        <v>0</v>
      </c>
      <c r="G388">
        <v>191.47640999999999</v>
      </c>
      <c r="I388">
        <f t="shared" ref="I388:I451" si="24">$H$2*$C388/$B388</f>
        <v>0</v>
      </c>
      <c r="J388">
        <f t="shared" ref="J388:J451" si="25">$H$2*$D388</f>
        <v>48.808921560436907</v>
      </c>
      <c r="K388">
        <f t="shared" ref="K388:K451" si="26">$H$2*$E388</f>
        <v>0</v>
      </c>
      <c r="L388">
        <f t="shared" ref="L388:L451" si="27">$H$2*$F388</f>
        <v>0</v>
      </c>
    </row>
    <row r="389" spans="1:12" x14ac:dyDescent="0.35">
      <c r="A389" s="1" t="s">
        <v>56</v>
      </c>
      <c r="B389">
        <v>0.29499999999999998</v>
      </c>
      <c r="C389">
        <v>0</v>
      </c>
      <c r="D389">
        <v>2.43875777</v>
      </c>
      <c r="E389">
        <v>0</v>
      </c>
      <c r="F389">
        <v>0</v>
      </c>
      <c r="G389">
        <v>197.34957</v>
      </c>
      <c r="I389">
        <f t="shared" si="24"/>
        <v>0</v>
      </c>
      <c r="J389">
        <f t="shared" si="25"/>
        <v>48.808921560436907</v>
      </c>
      <c r="K389">
        <f t="shared" si="26"/>
        <v>0</v>
      </c>
      <c r="L389">
        <f t="shared" si="27"/>
        <v>0</v>
      </c>
    </row>
    <row r="390" spans="1:12" x14ac:dyDescent="0.35">
      <c r="A390" s="1" t="s">
        <v>2</v>
      </c>
      <c r="B390">
        <v>0.1</v>
      </c>
      <c r="C390">
        <v>0</v>
      </c>
      <c r="D390">
        <v>0</v>
      </c>
      <c r="E390">
        <v>0</v>
      </c>
      <c r="F390">
        <v>0</v>
      </c>
      <c r="G390">
        <v>197.55957000000001</v>
      </c>
      <c r="I390">
        <f t="shared" si="24"/>
        <v>0</v>
      </c>
      <c r="J390">
        <f t="shared" si="25"/>
        <v>0</v>
      </c>
      <c r="K390">
        <f t="shared" si="26"/>
        <v>0</v>
      </c>
      <c r="L390">
        <f t="shared" si="27"/>
        <v>0</v>
      </c>
    </row>
    <row r="391" spans="1:12" x14ac:dyDescent="0.35">
      <c r="A391" s="1" t="s">
        <v>57</v>
      </c>
      <c r="B391">
        <v>0.16200000000000001</v>
      </c>
      <c r="C391">
        <v>0</v>
      </c>
      <c r="D391">
        <v>-2.8698264299999998</v>
      </c>
      <c r="E391">
        <v>0</v>
      </c>
      <c r="F391">
        <v>0</v>
      </c>
      <c r="G391">
        <v>197.95157</v>
      </c>
      <c r="I391">
        <f t="shared" si="24"/>
        <v>0</v>
      </c>
      <c r="J391">
        <f t="shared" si="25"/>
        <v>-57.436263181619168</v>
      </c>
      <c r="K391">
        <f t="shared" si="26"/>
        <v>0</v>
      </c>
      <c r="L391">
        <f t="shared" si="27"/>
        <v>0</v>
      </c>
    </row>
    <row r="392" spans="1:12" x14ac:dyDescent="0.35">
      <c r="A392" s="1" t="s">
        <v>58</v>
      </c>
      <c r="B392">
        <v>0.41783028900000002</v>
      </c>
      <c r="C392">
        <v>9.4690999999999994E-3</v>
      </c>
      <c r="D392">
        <v>0</v>
      </c>
      <c r="E392">
        <v>0</v>
      </c>
      <c r="F392">
        <v>0</v>
      </c>
      <c r="G392">
        <v>198.41640000000001</v>
      </c>
      <c r="I392">
        <f t="shared" si="24"/>
        <v>0.45356478630764774</v>
      </c>
      <c r="J392">
        <f t="shared" si="25"/>
        <v>0</v>
      </c>
      <c r="K392">
        <f t="shared" si="26"/>
        <v>0</v>
      </c>
      <c r="L392">
        <f t="shared" si="27"/>
        <v>0</v>
      </c>
    </row>
    <row r="393" spans="1:12" x14ac:dyDescent="0.35">
      <c r="A393" s="1" t="s">
        <v>59</v>
      </c>
      <c r="B393">
        <v>0.41782864199999997</v>
      </c>
      <c r="C393">
        <v>5.4992000000000001E-3</v>
      </c>
      <c r="D393">
        <v>0</v>
      </c>
      <c r="E393">
        <v>0</v>
      </c>
      <c r="F393">
        <v>0</v>
      </c>
      <c r="G393">
        <v>198.83422999999999</v>
      </c>
      <c r="I393">
        <f t="shared" si="24"/>
        <v>0.26340975432619773</v>
      </c>
      <c r="J393">
        <f t="shared" si="25"/>
        <v>0</v>
      </c>
      <c r="K393">
        <f t="shared" si="26"/>
        <v>0</v>
      </c>
      <c r="L393">
        <f t="shared" si="27"/>
        <v>0</v>
      </c>
    </row>
    <row r="394" spans="1:12" x14ac:dyDescent="0.35">
      <c r="A394" s="1" t="s">
        <v>60</v>
      </c>
      <c r="B394">
        <v>0.41782827500000003</v>
      </c>
      <c r="C394">
        <v>4.1392E-3</v>
      </c>
      <c r="D394">
        <v>0</v>
      </c>
      <c r="E394">
        <v>0</v>
      </c>
      <c r="F394">
        <v>0</v>
      </c>
      <c r="G394">
        <v>199.25205</v>
      </c>
      <c r="I394">
        <f t="shared" si="24"/>
        <v>0.19826640470947862</v>
      </c>
      <c r="J394">
        <f t="shared" si="25"/>
        <v>0</v>
      </c>
      <c r="K394">
        <f t="shared" si="26"/>
        <v>0</v>
      </c>
      <c r="L394">
        <f t="shared" si="27"/>
        <v>0</v>
      </c>
    </row>
    <row r="395" spans="1:12" x14ac:dyDescent="0.35">
      <c r="A395" s="1" t="s">
        <v>61</v>
      </c>
      <c r="B395">
        <v>0.41782808399999999</v>
      </c>
      <c r="C395">
        <v>3.2192000000000002E-3</v>
      </c>
      <c r="D395">
        <v>0</v>
      </c>
      <c r="E395">
        <v>0</v>
      </c>
      <c r="F395">
        <v>0</v>
      </c>
      <c r="G395">
        <v>199.66988000000001</v>
      </c>
      <c r="I395">
        <f t="shared" si="24"/>
        <v>0.15419875865034546</v>
      </c>
      <c r="J395">
        <f t="shared" si="25"/>
        <v>0</v>
      </c>
      <c r="K395">
        <f t="shared" si="26"/>
        <v>0</v>
      </c>
      <c r="L395">
        <f t="shared" si="27"/>
        <v>0</v>
      </c>
    </row>
    <row r="396" spans="1:12" x14ac:dyDescent="0.35">
      <c r="A396" s="1" t="s">
        <v>62</v>
      </c>
      <c r="B396">
        <v>0.41782794400000001</v>
      </c>
      <c r="C396">
        <v>2.3392E-3</v>
      </c>
      <c r="D396">
        <v>0</v>
      </c>
      <c r="E396">
        <v>0</v>
      </c>
      <c r="F396">
        <v>0</v>
      </c>
      <c r="G396">
        <v>200.08770999999999</v>
      </c>
      <c r="I396">
        <f t="shared" si="24"/>
        <v>0.11204704805350077</v>
      </c>
      <c r="J396">
        <f t="shared" si="25"/>
        <v>0</v>
      </c>
      <c r="K396">
        <f t="shared" si="26"/>
        <v>0</v>
      </c>
      <c r="L396">
        <f t="shared" si="27"/>
        <v>0</v>
      </c>
    </row>
    <row r="397" spans="1:12" x14ac:dyDescent="0.35">
      <c r="A397" s="1" t="s">
        <v>63</v>
      </c>
      <c r="B397">
        <v>0.21199999999999999</v>
      </c>
      <c r="C397">
        <v>0</v>
      </c>
      <c r="D397">
        <v>-2.3709669899999999</v>
      </c>
      <c r="E397">
        <v>0</v>
      </c>
      <c r="F397">
        <v>0</v>
      </c>
      <c r="G397">
        <v>200.34671</v>
      </c>
      <c r="I397">
        <f t="shared" si="24"/>
        <v>0</v>
      </c>
      <c r="J397">
        <f t="shared" si="25"/>
        <v>-47.452167353748784</v>
      </c>
      <c r="K397">
        <f t="shared" si="26"/>
        <v>0</v>
      </c>
      <c r="L397">
        <f t="shared" si="27"/>
        <v>0</v>
      </c>
    </row>
    <row r="398" spans="1:12" x14ac:dyDescent="0.35">
      <c r="A398" s="1" t="s">
        <v>64</v>
      </c>
      <c r="B398">
        <v>0.16600000000000001</v>
      </c>
      <c r="C398">
        <v>0</v>
      </c>
      <c r="D398">
        <v>0</v>
      </c>
      <c r="E398">
        <v>-132.861086</v>
      </c>
      <c r="F398">
        <v>0</v>
      </c>
      <c r="G398">
        <v>200.58770999999999</v>
      </c>
      <c r="I398">
        <f t="shared" si="24"/>
        <v>0</v>
      </c>
      <c r="J398">
        <f t="shared" si="25"/>
        <v>0</v>
      </c>
      <c r="K398">
        <f t="shared" si="26"/>
        <v>-2659.0612666744933</v>
      </c>
      <c r="L398">
        <f t="shared" si="27"/>
        <v>0</v>
      </c>
    </row>
    <row r="399" spans="1:12" x14ac:dyDescent="0.35">
      <c r="A399" s="1" t="s">
        <v>65</v>
      </c>
      <c r="B399">
        <v>0.21199999999999999</v>
      </c>
      <c r="C399">
        <v>0</v>
      </c>
      <c r="D399">
        <v>2.47240752</v>
      </c>
      <c r="E399">
        <v>0</v>
      </c>
      <c r="F399">
        <v>0</v>
      </c>
      <c r="G399">
        <v>201.40056000000001</v>
      </c>
      <c r="I399">
        <f t="shared" si="24"/>
        <v>0</v>
      </c>
      <c r="J399">
        <f t="shared" si="25"/>
        <v>49.48238246273813</v>
      </c>
      <c r="K399">
        <f t="shared" si="26"/>
        <v>0</v>
      </c>
      <c r="L399">
        <f t="shared" si="27"/>
        <v>0</v>
      </c>
    </row>
    <row r="400" spans="1:12" x14ac:dyDescent="0.35">
      <c r="A400" s="1" t="s">
        <v>66</v>
      </c>
      <c r="B400">
        <v>0.1</v>
      </c>
      <c r="C400">
        <v>0</v>
      </c>
      <c r="D400">
        <v>0</v>
      </c>
      <c r="E400">
        <v>172.62799999999999</v>
      </c>
      <c r="F400">
        <v>0</v>
      </c>
      <c r="G400">
        <v>201.57556</v>
      </c>
      <c r="I400">
        <f t="shared" si="24"/>
        <v>0</v>
      </c>
      <c r="J400">
        <f t="shared" si="25"/>
        <v>0</v>
      </c>
      <c r="K400">
        <f t="shared" si="26"/>
        <v>3454.9501450220296</v>
      </c>
      <c r="L400">
        <f t="shared" si="27"/>
        <v>0</v>
      </c>
    </row>
    <row r="401" spans="1:12" x14ac:dyDescent="0.35">
      <c r="A401" s="1" t="s">
        <v>66</v>
      </c>
      <c r="B401">
        <v>0.1</v>
      </c>
      <c r="C401">
        <v>0</v>
      </c>
      <c r="D401">
        <v>0</v>
      </c>
      <c r="E401">
        <v>172.62799999999999</v>
      </c>
      <c r="F401">
        <v>0</v>
      </c>
      <c r="G401">
        <f>201.57556+0.1</f>
        <v>201.67555999999999</v>
      </c>
      <c r="I401">
        <f t="shared" si="24"/>
        <v>0</v>
      </c>
      <c r="J401">
        <f t="shared" si="25"/>
        <v>0</v>
      </c>
      <c r="K401">
        <f t="shared" si="26"/>
        <v>3454.9501450220296</v>
      </c>
      <c r="L401">
        <f t="shared" si="27"/>
        <v>0</v>
      </c>
    </row>
    <row r="402" spans="1:12" x14ac:dyDescent="0.35">
      <c r="A402" s="1" t="s">
        <v>67</v>
      </c>
      <c r="B402">
        <v>0.21199999999999999</v>
      </c>
      <c r="C402">
        <v>0</v>
      </c>
      <c r="D402">
        <v>2.47240752</v>
      </c>
      <c r="E402">
        <v>0</v>
      </c>
      <c r="F402">
        <v>0</v>
      </c>
      <c r="G402">
        <v>201.96256</v>
      </c>
      <c r="I402">
        <f t="shared" si="24"/>
        <v>0</v>
      </c>
      <c r="J402">
        <f t="shared" si="25"/>
        <v>49.48238246273813</v>
      </c>
      <c r="K402">
        <f t="shared" si="26"/>
        <v>0</v>
      </c>
      <c r="L402">
        <f t="shared" si="27"/>
        <v>0</v>
      </c>
    </row>
    <row r="403" spans="1:12" x14ac:dyDescent="0.35">
      <c r="A403" s="1" t="s">
        <v>68</v>
      </c>
      <c r="B403">
        <v>0.09</v>
      </c>
      <c r="C403">
        <v>0</v>
      </c>
      <c r="D403">
        <v>0</v>
      </c>
      <c r="E403">
        <v>0</v>
      </c>
      <c r="F403">
        <v>-13632</v>
      </c>
      <c r="G403">
        <v>202.11256</v>
      </c>
      <c r="I403">
        <f t="shared" si="24"/>
        <v>0</v>
      </c>
      <c r="J403">
        <f t="shared" si="25"/>
        <v>0</v>
      </c>
      <c r="K403">
        <f t="shared" si="26"/>
        <v>0</v>
      </c>
      <c r="L403">
        <f t="shared" si="27"/>
        <v>-272828.74375501258</v>
      </c>
    </row>
    <row r="404" spans="1:12" x14ac:dyDescent="0.35">
      <c r="A404" s="1" t="s">
        <v>69</v>
      </c>
      <c r="B404">
        <v>0.16600000000000001</v>
      </c>
      <c r="C404">
        <v>0</v>
      </c>
      <c r="D404">
        <v>0</v>
      </c>
      <c r="E404">
        <v>-202.23429300000001</v>
      </c>
      <c r="F404">
        <v>0</v>
      </c>
      <c r="G404">
        <v>202.72942</v>
      </c>
      <c r="I404">
        <f t="shared" si="24"/>
        <v>0</v>
      </c>
      <c r="J404">
        <f t="shared" si="25"/>
        <v>0</v>
      </c>
      <c r="K404">
        <f t="shared" si="26"/>
        <v>-4047.4859230760812</v>
      </c>
      <c r="L404">
        <f t="shared" si="27"/>
        <v>0</v>
      </c>
    </row>
    <row r="405" spans="1:12" x14ac:dyDescent="0.35">
      <c r="A405" s="1" t="s">
        <v>70</v>
      </c>
      <c r="B405">
        <v>0.21199999999999999</v>
      </c>
      <c r="C405">
        <v>0</v>
      </c>
      <c r="D405">
        <v>-2.53358734</v>
      </c>
      <c r="E405">
        <v>0</v>
      </c>
      <c r="F405">
        <v>0</v>
      </c>
      <c r="G405">
        <v>203.01642000000001</v>
      </c>
      <c r="I405">
        <f t="shared" si="24"/>
        <v>0</v>
      </c>
      <c r="J405">
        <f t="shared" si="25"/>
        <v>-50.706825936458621</v>
      </c>
      <c r="K405">
        <f t="shared" si="26"/>
        <v>0</v>
      </c>
      <c r="L405">
        <f t="shared" si="27"/>
        <v>0</v>
      </c>
    </row>
    <row r="406" spans="1:12" x14ac:dyDescent="0.35">
      <c r="A406" s="1" t="s">
        <v>20</v>
      </c>
      <c r="B406">
        <v>0.41782794400000001</v>
      </c>
      <c r="C406">
        <v>2.3392E-3</v>
      </c>
      <c r="D406">
        <v>0</v>
      </c>
      <c r="E406">
        <v>0</v>
      </c>
      <c r="F406">
        <v>0</v>
      </c>
      <c r="G406">
        <v>203.48124000000001</v>
      </c>
      <c r="I406">
        <f t="shared" si="24"/>
        <v>0.11204704805350077</v>
      </c>
      <c r="J406">
        <f t="shared" si="25"/>
        <v>0</v>
      </c>
      <c r="K406">
        <f t="shared" si="26"/>
        <v>0</v>
      </c>
      <c r="L406">
        <f t="shared" si="27"/>
        <v>0</v>
      </c>
    </row>
    <row r="407" spans="1:12" x14ac:dyDescent="0.35">
      <c r="A407" s="1" t="s">
        <v>21</v>
      </c>
      <c r="B407">
        <v>0.41782808399999999</v>
      </c>
      <c r="C407">
        <v>3.2192000000000002E-3</v>
      </c>
      <c r="D407">
        <v>0</v>
      </c>
      <c r="E407">
        <v>0</v>
      </c>
      <c r="F407">
        <v>0</v>
      </c>
      <c r="G407">
        <v>203.89906999999999</v>
      </c>
      <c r="I407">
        <f t="shared" si="24"/>
        <v>0.15419875865034546</v>
      </c>
      <c r="J407">
        <f t="shared" si="25"/>
        <v>0</v>
      </c>
      <c r="K407">
        <f t="shared" si="26"/>
        <v>0</v>
      </c>
      <c r="L407">
        <f t="shared" si="27"/>
        <v>0</v>
      </c>
    </row>
    <row r="408" spans="1:12" x14ac:dyDescent="0.35">
      <c r="A408" s="1" t="s">
        <v>22</v>
      </c>
      <c r="B408">
        <v>0.41782827500000003</v>
      </c>
      <c r="C408">
        <v>4.1392E-3</v>
      </c>
      <c r="D408">
        <v>0</v>
      </c>
      <c r="E408">
        <v>0</v>
      </c>
      <c r="F408">
        <v>0</v>
      </c>
      <c r="G408">
        <v>204.3169</v>
      </c>
      <c r="I408">
        <f t="shared" si="24"/>
        <v>0.19826640470947862</v>
      </c>
      <c r="J408">
        <f t="shared" si="25"/>
        <v>0</v>
      </c>
      <c r="K408">
        <f t="shared" si="26"/>
        <v>0</v>
      </c>
      <c r="L408">
        <f t="shared" si="27"/>
        <v>0</v>
      </c>
    </row>
    <row r="409" spans="1:12" x14ac:dyDescent="0.35">
      <c r="A409" s="1" t="s">
        <v>23</v>
      </c>
      <c r="B409">
        <v>0.41782864199999997</v>
      </c>
      <c r="C409">
        <v>5.4992000000000001E-3</v>
      </c>
      <c r="D409">
        <v>0</v>
      </c>
      <c r="E409">
        <v>0</v>
      </c>
      <c r="F409">
        <v>0</v>
      </c>
      <c r="G409">
        <v>204.73473000000001</v>
      </c>
      <c r="I409">
        <f t="shared" si="24"/>
        <v>0.26340975432619773</v>
      </c>
      <c r="J409">
        <f t="shared" si="25"/>
        <v>0</v>
      </c>
      <c r="K409">
        <f t="shared" si="26"/>
        <v>0</v>
      </c>
      <c r="L409">
        <f t="shared" si="27"/>
        <v>0</v>
      </c>
    </row>
    <row r="410" spans="1:12" x14ac:dyDescent="0.35">
      <c r="A410" s="1" t="s">
        <v>24</v>
      </c>
      <c r="B410">
        <v>0.41782941899999998</v>
      </c>
      <c r="C410">
        <v>7.6290999999999998E-3</v>
      </c>
      <c r="D410">
        <v>0</v>
      </c>
      <c r="E410">
        <v>0</v>
      </c>
      <c r="F410">
        <v>0</v>
      </c>
      <c r="G410">
        <v>205.15255999999999</v>
      </c>
      <c r="I410">
        <f t="shared" si="24"/>
        <v>0.36543053893202671</v>
      </c>
      <c r="J410">
        <f t="shared" si="25"/>
        <v>0</v>
      </c>
      <c r="K410">
        <f t="shared" si="26"/>
        <v>0</v>
      </c>
      <c r="L410">
        <f t="shared" si="27"/>
        <v>0</v>
      </c>
    </row>
    <row r="411" spans="1:12" x14ac:dyDescent="0.35">
      <c r="A411" s="1" t="s">
        <v>71</v>
      </c>
      <c r="B411">
        <v>0.3745</v>
      </c>
      <c r="C411">
        <v>0</v>
      </c>
      <c r="D411">
        <v>4.5116622</v>
      </c>
      <c r="E411">
        <v>0</v>
      </c>
      <c r="F411">
        <v>0</v>
      </c>
      <c r="G411">
        <v>205.67706000000001</v>
      </c>
      <c r="I411">
        <f t="shared" si="24"/>
        <v>0</v>
      </c>
      <c r="J411">
        <f t="shared" si="25"/>
        <v>90.29571084748946</v>
      </c>
      <c r="K411">
        <f t="shared" si="26"/>
        <v>0</v>
      </c>
      <c r="L411">
        <f t="shared" si="27"/>
        <v>0</v>
      </c>
    </row>
    <row r="412" spans="1:12" x14ac:dyDescent="0.35">
      <c r="A412" s="1" t="s">
        <v>72</v>
      </c>
      <c r="B412">
        <v>1.0280365199999999</v>
      </c>
      <c r="C412">
        <v>2.4767999999999998E-2</v>
      </c>
      <c r="D412">
        <v>-1.929</v>
      </c>
      <c r="E412">
        <v>0</v>
      </c>
      <c r="F412">
        <v>0</v>
      </c>
      <c r="G412">
        <v>206.79509999999999</v>
      </c>
      <c r="I412">
        <f t="shared" si="24"/>
        <v>0.48218416286837618</v>
      </c>
      <c r="J412">
        <f t="shared" si="25"/>
        <v>-38.606708238220314</v>
      </c>
      <c r="K412">
        <f t="shared" si="26"/>
        <v>0</v>
      </c>
      <c r="L412">
        <f t="shared" si="27"/>
        <v>0</v>
      </c>
    </row>
    <row r="413" spans="1:12" x14ac:dyDescent="0.35">
      <c r="A413" s="1" t="s">
        <v>73</v>
      </c>
      <c r="B413">
        <v>0.4975</v>
      </c>
      <c r="C413">
        <v>0</v>
      </c>
      <c r="D413">
        <v>4.61414189</v>
      </c>
      <c r="E413">
        <v>0</v>
      </c>
      <c r="F413">
        <v>0</v>
      </c>
      <c r="G413">
        <v>207.3826</v>
      </c>
      <c r="I413">
        <f t="shared" si="24"/>
        <v>0</v>
      </c>
      <c r="J413">
        <f t="shared" si="25"/>
        <v>92.346723544313335</v>
      </c>
      <c r="K413">
        <f t="shared" si="26"/>
        <v>0</v>
      </c>
      <c r="L413">
        <f t="shared" si="27"/>
        <v>0</v>
      </c>
    </row>
    <row r="414" spans="1:12" x14ac:dyDescent="0.35">
      <c r="A414" s="1" t="s">
        <v>28</v>
      </c>
      <c r="B414">
        <v>0.1</v>
      </c>
      <c r="C414">
        <v>0</v>
      </c>
      <c r="D414">
        <v>0</v>
      </c>
      <c r="E414">
        <v>0</v>
      </c>
      <c r="F414">
        <v>0</v>
      </c>
      <c r="G414">
        <v>207.55367000000001</v>
      </c>
      <c r="I414">
        <f t="shared" si="24"/>
        <v>0</v>
      </c>
      <c r="J414">
        <f t="shared" si="25"/>
        <v>0</v>
      </c>
      <c r="K414">
        <f t="shared" si="26"/>
        <v>0</v>
      </c>
      <c r="L414">
        <f t="shared" si="27"/>
        <v>0</v>
      </c>
    </row>
    <row r="415" spans="1:12" x14ac:dyDescent="0.35">
      <c r="A415" s="1" t="s">
        <v>74</v>
      </c>
      <c r="B415">
        <v>0.40000102700000001</v>
      </c>
      <c r="C415">
        <v>5.2300999999999997E-3</v>
      </c>
      <c r="D415">
        <v>-1.5815999999999999</v>
      </c>
      <c r="E415">
        <v>0</v>
      </c>
      <c r="F415">
        <v>0</v>
      </c>
      <c r="G415">
        <v>208.04667000000001</v>
      </c>
      <c r="I415">
        <f t="shared" si="24"/>
        <v>0.26168536331815889</v>
      </c>
      <c r="J415">
        <f t="shared" si="25"/>
        <v>-31.653898263125576</v>
      </c>
      <c r="K415">
        <f t="shared" si="26"/>
        <v>0</v>
      </c>
      <c r="L415">
        <f t="shared" si="27"/>
        <v>0</v>
      </c>
    </row>
    <row r="416" spans="1:12" x14ac:dyDescent="0.35">
      <c r="A416" s="1" t="s">
        <v>30</v>
      </c>
      <c r="B416">
        <v>2.44294E-2</v>
      </c>
      <c r="C416">
        <v>1.0499000000000001E-3</v>
      </c>
      <c r="D416">
        <v>0</v>
      </c>
      <c r="E416">
        <v>0</v>
      </c>
      <c r="F416">
        <v>0</v>
      </c>
      <c r="G416">
        <v>208.14160000000001</v>
      </c>
      <c r="I416">
        <f t="shared" si="24"/>
        <v>0.8601331402616047</v>
      </c>
      <c r="J416">
        <f t="shared" si="25"/>
        <v>0</v>
      </c>
      <c r="K416">
        <f t="shared" si="26"/>
        <v>0</v>
      </c>
      <c r="L416">
        <f t="shared" si="27"/>
        <v>0</v>
      </c>
    </row>
    <row r="417" spans="1:12" x14ac:dyDescent="0.35">
      <c r="A417" s="1" t="s">
        <v>30</v>
      </c>
      <c r="B417">
        <v>2.44294E-2</v>
      </c>
      <c r="C417">
        <v>1.0499000000000001E-3</v>
      </c>
      <c r="D417">
        <v>0</v>
      </c>
      <c r="E417">
        <v>0</v>
      </c>
      <c r="F417">
        <v>0</v>
      </c>
      <c r="G417">
        <f>208.1416+0.0244294</f>
        <v>208.16602940000001</v>
      </c>
      <c r="I417">
        <f t="shared" si="24"/>
        <v>0.8601331402616047</v>
      </c>
      <c r="J417">
        <f t="shared" si="25"/>
        <v>0</v>
      </c>
      <c r="K417">
        <f t="shared" si="26"/>
        <v>0</v>
      </c>
      <c r="L417">
        <f t="shared" si="27"/>
        <v>0</v>
      </c>
    </row>
    <row r="418" spans="1:12" x14ac:dyDescent="0.35">
      <c r="A418" s="1" t="s">
        <v>75</v>
      </c>
      <c r="B418">
        <v>0.40000102700000001</v>
      </c>
      <c r="C418">
        <v>5.2300999999999997E-3</v>
      </c>
      <c r="D418">
        <v>-1.5815999999999999</v>
      </c>
      <c r="E418">
        <v>0</v>
      </c>
      <c r="F418">
        <v>0</v>
      </c>
      <c r="G418">
        <v>208.63652999999999</v>
      </c>
      <c r="I418">
        <f t="shared" si="24"/>
        <v>0.26168536331815889</v>
      </c>
      <c r="J418">
        <f t="shared" si="25"/>
        <v>-31.653898263125576</v>
      </c>
      <c r="K418">
        <f t="shared" si="26"/>
        <v>0</v>
      </c>
      <c r="L418">
        <f t="shared" si="27"/>
        <v>0</v>
      </c>
    </row>
    <row r="419" spans="1:12" x14ac:dyDescent="0.35">
      <c r="A419" s="1" t="s">
        <v>76</v>
      </c>
      <c r="B419">
        <v>0.4975</v>
      </c>
      <c r="C419">
        <v>0</v>
      </c>
      <c r="D419">
        <v>4.61414189</v>
      </c>
      <c r="E419">
        <v>0</v>
      </c>
      <c r="F419">
        <v>0</v>
      </c>
      <c r="G419">
        <v>209.3981</v>
      </c>
      <c r="I419">
        <f t="shared" si="24"/>
        <v>0</v>
      </c>
      <c r="J419">
        <f t="shared" si="25"/>
        <v>92.346723544313335</v>
      </c>
      <c r="K419">
        <f t="shared" si="26"/>
        <v>0</v>
      </c>
      <c r="L419">
        <f t="shared" si="27"/>
        <v>0</v>
      </c>
    </row>
    <row r="420" spans="1:12" x14ac:dyDescent="0.35">
      <c r="A420" s="1" t="s">
        <v>77</v>
      </c>
      <c r="B420">
        <v>1.0280365199999999</v>
      </c>
      <c r="C420">
        <v>2.4767999999999998E-2</v>
      </c>
      <c r="D420">
        <v>-1.929</v>
      </c>
      <c r="E420">
        <v>0</v>
      </c>
      <c r="F420">
        <v>0</v>
      </c>
      <c r="G420">
        <v>210.51613</v>
      </c>
      <c r="I420">
        <f t="shared" si="24"/>
        <v>0.48218416286837618</v>
      </c>
      <c r="J420">
        <f t="shared" si="25"/>
        <v>-38.606708238220314</v>
      </c>
      <c r="K420">
        <f t="shared" si="26"/>
        <v>0</v>
      </c>
      <c r="L420">
        <f t="shared" si="27"/>
        <v>0</v>
      </c>
    </row>
    <row r="421" spans="1:12" x14ac:dyDescent="0.35">
      <c r="A421" s="1" t="s">
        <v>78</v>
      </c>
      <c r="B421">
        <v>0.3745</v>
      </c>
      <c r="C421">
        <v>0</v>
      </c>
      <c r="D421">
        <v>4.5116622</v>
      </c>
      <c r="E421">
        <v>0</v>
      </c>
      <c r="F421">
        <v>0</v>
      </c>
      <c r="G421">
        <v>210.98062999999999</v>
      </c>
      <c r="I421">
        <f t="shared" si="24"/>
        <v>0</v>
      </c>
      <c r="J421">
        <f t="shared" si="25"/>
        <v>90.29571084748946</v>
      </c>
      <c r="K421">
        <f t="shared" si="26"/>
        <v>0</v>
      </c>
      <c r="L421">
        <f t="shared" si="27"/>
        <v>0</v>
      </c>
    </row>
    <row r="422" spans="1:12" x14ac:dyDescent="0.35">
      <c r="A422" s="1" t="s">
        <v>35</v>
      </c>
      <c r="B422">
        <v>0.41782941899999998</v>
      </c>
      <c r="C422">
        <v>7.6290999999999998E-3</v>
      </c>
      <c r="D422">
        <v>0</v>
      </c>
      <c r="E422">
        <v>0</v>
      </c>
      <c r="F422">
        <v>0</v>
      </c>
      <c r="G422">
        <v>211.54846000000001</v>
      </c>
      <c r="I422">
        <f t="shared" si="24"/>
        <v>0.36543053893202671</v>
      </c>
      <c r="J422">
        <f t="shared" si="25"/>
        <v>0</v>
      </c>
      <c r="K422">
        <f t="shared" si="26"/>
        <v>0</v>
      </c>
      <c r="L422">
        <f t="shared" si="27"/>
        <v>0</v>
      </c>
    </row>
    <row r="423" spans="1:12" x14ac:dyDescent="0.35">
      <c r="A423" s="1" t="s">
        <v>36</v>
      </c>
      <c r="B423">
        <v>0.41782864199999997</v>
      </c>
      <c r="C423">
        <v>5.4992000000000001E-3</v>
      </c>
      <c r="D423">
        <v>0</v>
      </c>
      <c r="E423">
        <v>0</v>
      </c>
      <c r="F423">
        <v>0</v>
      </c>
      <c r="G423">
        <v>211.96628999999999</v>
      </c>
      <c r="I423">
        <f t="shared" si="24"/>
        <v>0.26340975432619773</v>
      </c>
      <c r="J423">
        <f t="shared" si="25"/>
        <v>0</v>
      </c>
      <c r="K423">
        <f t="shared" si="26"/>
        <v>0</v>
      </c>
      <c r="L423">
        <f t="shared" si="27"/>
        <v>0</v>
      </c>
    </row>
    <row r="424" spans="1:12" x14ac:dyDescent="0.35">
      <c r="A424" s="1" t="s">
        <v>37</v>
      </c>
      <c r="B424">
        <v>0.41782827500000003</v>
      </c>
      <c r="C424">
        <v>4.1392E-3</v>
      </c>
      <c r="D424">
        <v>0</v>
      </c>
      <c r="E424">
        <v>0</v>
      </c>
      <c r="F424">
        <v>0</v>
      </c>
      <c r="G424">
        <v>212.38412</v>
      </c>
      <c r="I424">
        <f t="shared" si="24"/>
        <v>0.19826640470947862</v>
      </c>
      <c r="J424">
        <f t="shared" si="25"/>
        <v>0</v>
      </c>
      <c r="K424">
        <f t="shared" si="26"/>
        <v>0</v>
      </c>
      <c r="L424">
        <f t="shared" si="27"/>
        <v>0</v>
      </c>
    </row>
    <row r="425" spans="1:12" x14ac:dyDescent="0.35">
      <c r="A425" s="1" t="s">
        <v>38</v>
      </c>
      <c r="B425">
        <v>0.41782808399999999</v>
      </c>
      <c r="C425">
        <v>3.2192000000000002E-3</v>
      </c>
      <c r="D425">
        <v>0</v>
      </c>
      <c r="E425">
        <v>0</v>
      </c>
      <c r="F425">
        <v>0</v>
      </c>
      <c r="G425">
        <v>212.80195000000001</v>
      </c>
      <c r="I425">
        <f t="shared" si="24"/>
        <v>0.15419875865034546</v>
      </c>
      <c r="J425">
        <f t="shared" si="25"/>
        <v>0</v>
      </c>
      <c r="K425">
        <f t="shared" si="26"/>
        <v>0</v>
      </c>
      <c r="L425">
        <f t="shared" si="27"/>
        <v>0</v>
      </c>
    </row>
    <row r="426" spans="1:12" x14ac:dyDescent="0.35">
      <c r="A426" s="1" t="s">
        <v>39</v>
      </c>
      <c r="B426">
        <v>0.41782794400000001</v>
      </c>
      <c r="C426">
        <v>2.3392E-3</v>
      </c>
      <c r="D426">
        <v>0</v>
      </c>
      <c r="E426">
        <v>0</v>
      </c>
      <c r="F426">
        <v>0</v>
      </c>
      <c r="G426">
        <v>213.21977999999999</v>
      </c>
      <c r="I426">
        <f t="shared" si="24"/>
        <v>0.11204704805350077</v>
      </c>
      <c r="J426">
        <f t="shared" si="25"/>
        <v>0</v>
      </c>
      <c r="K426">
        <f t="shared" si="26"/>
        <v>0</v>
      </c>
      <c r="L426">
        <f t="shared" si="27"/>
        <v>0</v>
      </c>
    </row>
    <row r="427" spans="1:12" x14ac:dyDescent="0.35">
      <c r="A427" s="1" t="s">
        <v>79</v>
      </c>
      <c r="B427">
        <v>0.21199999999999999</v>
      </c>
      <c r="C427">
        <v>0</v>
      </c>
      <c r="D427">
        <v>-2.53358734</v>
      </c>
      <c r="E427">
        <v>0</v>
      </c>
      <c r="F427">
        <v>0</v>
      </c>
      <c r="G427">
        <v>213.47878</v>
      </c>
      <c r="I427">
        <f t="shared" si="24"/>
        <v>0</v>
      </c>
      <c r="J427">
        <f t="shared" si="25"/>
        <v>-50.706825936458621</v>
      </c>
      <c r="K427">
        <f t="shared" si="26"/>
        <v>0</v>
      </c>
      <c r="L427">
        <f t="shared" si="27"/>
        <v>0</v>
      </c>
    </row>
    <row r="428" spans="1:12" x14ac:dyDescent="0.35">
      <c r="A428" s="1" t="s">
        <v>80</v>
      </c>
      <c r="B428">
        <v>0.16600000000000001</v>
      </c>
      <c r="C428">
        <v>0</v>
      </c>
      <c r="D428">
        <v>0</v>
      </c>
      <c r="E428">
        <v>-202.23429300000001</v>
      </c>
      <c r="F428">
        <v>0</v>
      </c>
      <c r="G428">
        <v>213.71977999999999</v>
      </c>
      <c r="I428">
        <f t="shared" si="24"/>
        <v>0</v>
      </c>
      <c r="J428">
        <f t="shared" si="25"/>
        <v>0</v>
      </c>
      <c r="K428">
        <f t="shared" si="26"/>
        <v>-4047.4859230760812</v>
      </c>
      <c r="L428">
        <f t="shared" si="27"/>
        <v>0</v>
      </c>
    </row>
    <row r="429" spans="1:12" x14ac:dyDescent="0.35">
      <c r="A429" s="1" t="s">
        <v>81</v>
      </c>
      <c r="B429">
        <v>0.09</v>
      </c>
      <c r="C429">
        <v>0</v>
      </c>
      <c r="D429">
        <v>0</v>
      </c>
      <c r="E429">
        <v>0</v>
      </c>
      <c r="F429">
        <v>-13632</v>
      </c>
      <c r="G429">
        <v>214.26062999999999</v>
      </c>
      <c r="I429">
        <f t="shared" si="24"/>
        <v>0</v>
      </c>
      <c r="J429">
        <f t="shared" si="25"/>
        <v>0</v>
      </c>
      <c r="K429">
        <f t="shared" si="26"/>
        <v>0</v>
      </c>
      <c r="L429">
        <f t="shared" si="27"/>
        <v>-272828.74375501258</v>
      </c>
    </row>
    <row r="430" spans="1:12" x14ac:dyDescent="0.35">
      <c r="A430" s="1" t="s">
        <v>82</v>
      </c>
      <c r="B430">
        <v>0.21199999999999999</v>
      </c>
      <c r="C430">
        <v>0</v>
      </c>
      <c r="D430">
        <v>2.47240752</v>
      </c>
      <c r="E430">
        <v>0</v>
      </c>
      <c r="F430">
        <v>0</v>
      </c>
      <c r="G430">
        <v>214.53263000000001</v>
      </c>
      <c r="I430">
        <f t="shared" si="24"/>
        <v>0</v>
      </c>
      <c r="J430">
        <f t="shared" si="25"/>
        <v>49.48238246273813</v>
      </c>
      <c r="K430">
        <f t="shared" si="26"/>
        <v>0</v>
      </c>
      <c r="L430">
        <f t="shared" si="27"/>
        <v>0</v>
      </c>
    </row>
    <row r="431" spans="1:12" x14ac:dyDescent="0.35">
      <c r="A431" s="1" t="s">
        <v>83</v>
      </c>
      <c r="B431">
        <v>0.1</v>
      </c>
      <c r="C431">
        <v>0</v>
      </c>
      <c r="D431">
        <v>0</v>
      </c>
      <c r="E431">
        <v>172.62799999999999</v>
      </c>
      <c r="F431">
        <v>0</v>
      </c>
      <c r="G431">
        <v>214.70762999999999</v>
      </c>
      <c r="I431">
        <f t="shared" si="24"/>
        <v>0</v>
      </c>
      <c r="J431">
        <f t="shared" si="25"/>
        <v>0</v>
      </c>
      <c r="K431">
        <f t="shared" si="26"/>
        <v>3454.9501450220296</v>
      </c>
      <c r="L431">
        <f t="shared" si="27"/>
        <v>0</v>
      </c>
    </row>
    <row r="432" spans="1:12" x14ac:dyDescent="0.35">
      <c r="A432" s="1" t="s">
        <v>83</v>
      </c>
      <c r="B432">
        <v>0.1</v>
      </c>
      <c r="C432">
        <v>0</v>
      </c>
      <c r="D432">
        <v>0</v>
      </c>
      <c r="E432">
        <v>172.62799999999999</v>
      </c>
      <c r="F432">
        <v>0</v>
      </c>
      <c r="G432">
        <f>0.1+214.70763</f>
        <v>214.80762999999999</v>
      </c>
      <c r="I432">
        <f t="shared" si="24"/>
        <v>0</v>
      </c>
      <c r="J432">
        <f t="shared" si="25"/>
        <v>0</v>
      </c>
      <c r="K432">
        <f t="shared" si="26"/>
        <v>3454.9501450220296</v>
      </c>
      <c r="L432">
        <f t="shared" si="27"/>
        <v>0</v>
      </c>
    </row>
    <row r="433" spans="1:12" x14ac:dyDescent="0.35">
      <c r="A433" s="1" t="s">
        <v>84</v>
      </c>
      <c r="B433">
        <v>0.21199999999999999</v>
      </c>
      <c r="C433">
        <v>0</v>
      </c>
      <c r="D433">
        <v>2.47240752</v>
      </c>
      <c r="E433">
        <v>0</v>
      </c>
      <c r="F433">
        <v>0</v>
      </c>
      <c r="G433">
        <v>215.09463</v>
      </c>
      <c r="I433">
        <f t="shared" si="24"/>
        <v>0</v>
      </c>
      <c r="J433">
        <f t="shared" si="25"/>
        <v>49.48238246273813</v>
      </c>
      <c r="K433">
        <f t="shared" si="26"/>
        <v>0</v>
      </c>
      <c r="L433">
        <f t="shared" si="27"/>
        <v>0</v>
      </c>
    </row>
    <row r="434" spans="1:12" x14ac:dyDescent="0.35">
      <c r="A434" s="1" t="s">
        <v>85</v>
      </c>
      <c r="B434">
        <v>0.16600000000000001</v>
      </c>
      <c r="C434">
        <v>0</v>
      </c>
      <c r="D434">
        <v>0</v>
      </c>
      <c r="E434">
        <v>-132.861086</v>
      </c>
      <c r="F434">
        <v>0</v>
      </c>
      <c r="G434">
        <v>215.86148</v>
      </c>
      <c r="I434">
        <f t="shared" si="24"/>
        <v>0</v>
      </c>
      <c r="J434">
        <f t="shared" si="25"/>
        <v>0</v>
      </c>
      <c r="K434">
        <f t="shared" si="26"/>
        <v>-2659.0612666744933</v>
      </c>
      <c r="L434">
        <f t="shared" si="27"/>
        <v>0</v>
      </c>
    </row>
    <row r="435" spans="1:12" x14ac:dyDescent="0.35">
      <c r="A435" s="1" t="s">
        <v>86</v>
      </c>
      <c r="B435">
        <v>0.21199999999999999</v>
      </c>
      <c r="C435">
        <v>0</v>
      </c>
      <c r="D435">
        <v>-2.3709669899999999</v>
      </c>
      <c r="E435">
        <v>0</v>
      </c>
      <c r="F435">
        <v>0</v>
      </c>
      <c r="G435">
        <v>216.14848000000001</v>
      </c>
      <c r="I435">
        <f t="shared" si="24"/>
        <v>0</v>
      </c>
      <c r="J435">
        <f t="shared" si="25"/>
        <v>-47.452167353748784</v>
      </c>
      <c r="K435">
        <f t="shared" si="26"/>
        <v>0</v>
      </c>
      <c r="L435">
        <f t="shared" si="27"/>
        <v>0</v>
      </c>
    </row>
    <row r="436" spans="1:12" x14ac:dyDescent="0.35">
      <c r="A436" s="1" t="s">
        <v>48</v>
      </c>
      <c r="B436">
        <v>0.41782794400000001</v>
      </c>
      <c r="C436">
        <v>2.3392E-3</v>
      </c>
      <c r="D436">
        <v>0</v>
      </c>
      <c r="E436">
        <v>0</v>
      </c>
      <c r="F436">
        <v>0</v>
      </c>
      <c r="G436">
        <v>216.61331000000001</v>
      </c>
      <c r="I436">
        <f t="shared" si="24"/>
        <v>0.11204704805350077</v>
      </c>
      <c r="J436">
        <f t="shared" si="25"/>
        <v>0</v>
      </c>
      <c r="K436">
        <f t="shared" si="26"/>
        <v>0</v>
      </c>
      <c r="L436">
        <f t="shared" si="27"/>
        <v>0</v>
      </c>
    </row>
    <row r="437" spans="1:12" x14ac:dyDescent="0.35">
      <c r="A437" s="1" t="s">
        <v>49</v>
      </c>
      <c r="B437">
        <v>0.41782808399999999</v>
      </c>
      <c r="C437">
        <v>3.2192000000000002E-3</v>
      </c>
      <c r="D437">
        <v>0</v>
      </c>
      <c r="E437">
        <v>0</v>
      </c>
      <c r="F437">
        <v>0</v>
      </c>
      <c r="G437">
        <v>217.03113999999999</v>
      </c>
      <c r="I437">
        <f t="shared" si="24"/>
        <v>0.15419875865034546</v>
      </c>
      <c r="J437">
        <f t="shared" si="25"/>
        <v>0</v>
      </c>
      <c r="K437">
        <f t="shared" si="26"/>
        <v>0</v>
      </c>
      <c r="L437">
        <f t="shared" si="27"/>
        <v>0</v>
      </c>
    </row>
    <row r="438" spans="1:12" x14ac:dyDescent="0.35">
      <c r="A438" s="1" t="s">
        <v>50</v>
      </c>
      <c r="B438">
        <v>0.41782827500000003</v>
      </c>
      <c r="C438">
        <v>4.1392E-3</v>
      </c>
      <c r="D438">
        <v>0</v>
      </c>
      <c r="E438">
        <v>0</v>
      </c>
      <c r="F438">
        <v>0</v>
      </c>
      <c r="G438">
        <v>217.44897</v>
      </c>
      <c r="I438">
        <f t="shared" si="24"/>
        <v>0.19826640470947862</v>
      </c>
      <c r="J438">
        <f t="shared" si="25"/>
        <v>0</v>
      </c>
      <c r="K438">
        <f t="shared" si="26"/>
        <v>0</v>
      </c>
      <c r="L438">
        <f t="shared" si="27"/>
        <v>0</v>
      </c>
    </row>
    <row r="439" spans="1:12" x14ac:dyDescent="0.35">
      <c r="A439" s="1" t="s">
        <v>51</v>
      </c>
      <c r="B439">
        <v>0.41782864199999997</v>
      </c>
      <c r="C439">
        <v>5.4992000000000001E-3</v>
      </c>
      <c r="D439">
        <v>0</v>
      </c>
      <c r="E439">
        <v>0</v>
      </c>
      <c r="F439">
        <v>0</v>
      </c>
      <c r="G439">
        <v>217.86680000000001</v>
      </c>
      <c r="I439">
        <f t="shared" si="24"/>
        <v>0.26340975432619773</v>
      </c>
      <c r="J439">
        <f t="shared" si="25"/>
        <v>0</v>
      </c>
      <c r="K439">
        <f t="shared" si="26"/>
        <v>0</v>
      </c>
      <c r="L439">
        <f t="shared" si="27"/>
        <v>0</v>
      </c>
    </row>
    <row r="440" spans="1:12" x14ac:dyDescent="0.35">
      <c r="A440" s="1" t="s">
        <v>52</v>
      </c>
      <c r="B440">
        <v>0.41783028900000002</v>
      </c>
      <c r="C440">
        <v>9.4690999999999994E-3</v>
      </c>
      <c r="D440">
        <v>0</v>
      </c>
      <c r="E440">
        <v>0</v>
      </c>
      <c r="F440">
        <v>0</v>
      </c>
      <c r="G440">
        <v>218.28462999999999</v>
      </c>
      <c r="I440">
        <f t="shared" si="24"/>
        <v>0.45356478630764774</v>
      </c>
      <c r="J440">
        <f t="shared" si="25"/>
        <v>0</v>
      </c>
      <c r="K440">
        <f t="shared" si="26"/>
        <v>0</v>
      </c>
      <c r="L440">
        <f t="shared" si="27"/>
        <v>0</v>
      </c>
    </row>
    <row r="441" spans="1:12" x14ac:dyDescent="0.35">
      <c r="A441" s="1" t="s">
        <v>87</v>
      </c>
      <c r="B441">
        <v>0.16200000000000001</v>
      </c>
      <c r="C441">
        <v>0</v>
      </c>
      <c r="D441">
        <v>-2.8698264299999998</v>
      </c>
      <c r="E441">
        <v>0</v>
      </c>
      <c r="F441">
        <v>0</v>
      </c>
      <c r="G441">
        <v>218.49363</v>
      </c>
      <c r="I441">
        <f t="shared" si="24"/>
        <v>0</v>
      </c>
      <c r="J441">
        <f t="shared" si="25"/>
        <v>-57.436263181619168</v>
      </c>
      <c r="K441">
        <f t="shared" si="26"/>
        <v>0</v>
      </c>
      <c r="L441">
        <f t="shared" si="27"/>
        <v>0</v>
      </c>
    </row>
    <row r="442" spans="1:12" x14ac:dyDescent="0.35">
      <c r="A442" s="1" t="s">
        <v>54</v>
      </c>
      <c r="B442">
        <v>0.1</v>
      </c>
      <c r="C442">
        <v>0</v>
      </c>
      <c r="D442">
        <v>0</v>
      </c>
      <c r="E442">
        <v>0</v>
      </c>
      <c r="F442">
        <v>0</v>
      </c>
      <c r="G442">
        <v>218.82363000000001</v>
      </c>
      <c r="I442">
        <f t="shared" si="24"/>
        <v>0</v>
      </c>
      <c r="J442">
        <f t="shared" si="25"/>
        <v>0</v>
      </c>
      <c r="K442">
        <f t="shared" si="26"/>
        <v>0</v>
      </c>
      <c r="L442">
        <f t="shared" si="27"/>
        <v>0</v>
      </c>
    </row>
    <row r="443" spans="1:12" x14ac:dyDescent="0.35">
      <c r="A443" s="1" t="s">
        <v>88</v>
      </c>
      <c r="B443">
        <v>0.29499999999999998</v>
      </c>
      <c r="C443">
        <v>0</v>
      </c>
      <c r="D443">
        <v>2.43875777</v>
      </c>
      <c r="E443">
        <v>0</v>
      </c>
      <c r="F443">
        <v>0</v>
      </c>
      <c r="G443">
        <v>219.22863000000001</v>
      </c>
      <c r="I443">
        <f t="shared" si="24"/>
        <v>0</v>
      </c>
      <c r="J443">
        <f t="shared" si="25"/>
        <v>48.808921560436907</v>
      </c>
      <c r="K443">
        <f t="shared" si="26"/>
        <v>0</v>
      </c>
      <c r="L443">
        <f t="shared" si="27"/>
        <v>0</v>
      </c>
    </row>
    <row r="444" spans="1:12" x14ac:dyDescent="0.35">
      <c r="A444" s="1" t="s">
        <v>56</v>
      </c>
      <c r="B444">
        <v>0.29499999999999998</v>
      </c>
      <c r="C444">
        <v>0</v>
      </c>
      <c r="D444">
        <v>2.43875777</v>
      </c>
      <c r="E444">
        <v>0</v>
      </c>
      <c r="F444">
        <v>0</v>
      </c>
      <c r="G444">
        <v>225.10177999999999</v>
      </c>
      <c r="I444">
        <f t="shared" si="24"/>
        <v>0</v>
      </c>
      <c r="J444">
        <f t="shared" si="25"/>
        <v>48.808921560436907</v>
      </c>
      <c r="K444">
        <f t="shared" si="26"/>
        <v>0</v>
      </c>
      <c r="L444">
        <f t="shared" si="27"/>
        <v>0</v>
      </c>
    </row>
    <row r="445" spans="1:12" x14ac:dyDescent="0.35">
      <c r="A445" s="1" t="s">
        <v>2</v>
      </c>
      <c r="B445">
        <v>0.1</v>
      </c>
      <c r="C445">
        <v>0</v>
      </c>
      <c r="D445">
        <v>0</v>
      </c>
      <c r="E445">
        <v>0</v>
      </c>
      <c r="F445">
        <v>0</v>
      </c>
      <c r="G445">
        <v>225.31178</v>
      </c>
      <c r="I445">
        <f t="shared" si="24"/>
        <v>0</v>
      </c>
      <c r="J445">
        <f t="shared" si="25"/>
        <v>0</v>
      </c>
      <c r="K445">
        <f t="shared" si="26"/>
        <v>0</v>
      </c>
      <c r="L445">
        <f t="shared" si="27"/>
        <v>0</v>
      </c>
    </row>
    <row r="446" spans="1:12" x14ac:dyDescent="0.35">
      <c r="A446" s="1" t="s">
        <v>57</v>
      </c>
      <c r="B446">
        <v>0.16200000000000001</v>
      </c>
      <c r="C446">
        <v>0</v>
      </c>
      <c r="D446">
        <v>-2.8698264299999998</v>
      </c>
      <c r="E446">
        <v>0</v>
      </c>
      <c r="F446">
        <v>0</v>
      </c>
      <c r="G446">
        <v>225.70377999999999</v>
      </c>
      <c r="I446">
        <f t="shared" si="24"/>
        <v>0</v>
      </c>
      <c r="J446">
        <f t="shared" si="25"/>
        <v>-57.436263181619168</v>
      </c>
      <c r="K446">
        <f t="shared" si="26"/>
        <v>0</v>
      </c>
      <c r="L446">
        <f t="shared" si="27"/>
        <v>0</v>
      </c>
    </row>
    <row r="447" spans="1:12" x14ac:dyDescent="0.35">
      <c r="A447" s="1" t="s">
        <v>58</v>
      </c>
      <c r="B447">
        <v>0.41783028900000002</v>
      </c>
      <c r="C447">
        <v>9.4690999999999994E-3</v>
      </c>
      <c r="D447">
        <v>0</v>
      </c>
      <c r="E447">
        <v>0</v>
      </c>
      <c r="F447">
        <v>0</v>
      </c>
      <c r="G447">
        <v>226.16861</v>
      </c>
      <c r="I447">
        <f t="shared" si="24"/>
        <v>0.45356478630764774</v>
      </c>
      <c r="J447">
        <f t="shared" si="25"/>
        <v>0</v>
      </c>
      <c r="K447">
        <f t="shared" si="26"/>
        <v>0</v>
      </c>
      <c r="L447">
        <f t="shared" si="27"/>
        <v>0</v>
      </c>
    </row>
    <row r="448" spans="1:12" x14ac:dyDescent="0.35">
      <c r="A448" s="1" t="s">
        <v>59</v>
      </c>
      <c r="B448">
        <v>0.41782864199999997</v>
      </c>
      <c r="C448">
        <v>5.4992000000000001E-3</v>
      </c>
      <c r="D448">
        <v>0</v>
      </c>
      <c r="E448">
        <v>0</v>
      </c>
      <c r="F448">
        <v>0</v>
      </c>
      <c r="G448">
        <v>226.58644000000001</v>
      </c>
      <c r="I448">
        <f t="shared" si="24"/>
        <v>0.26340975432619773</v>
      </c>
      <c r="J448">
        <f t="shared" si="25"/>
        <v>0</v>
      </c>
      <c r="K448">
        <f t="shared" si="26"/>
        <v>0</v>
      </c>
      <c r="L448">
        <f t="shared" si="27"/>
        <v>0</v>
      </c>
    </row>
    <row r="449" spans="1:12" x14ac:dyDescent="0.35">
      <c r="A449" s="1" t="s">
        <v>60</v>
      </c>
      <c r="B449">
        <v>0.41782827500000003</v>
      </c>
      <c r="C449">
        <v>4.1392E-3</v>
      </c>
      <c r="D449">
        <v>0</v>
      </c>
      <c r="E449">
        <v>0</v>
      </c>
      <c r="F449">
        <v>0</v>
      </c>
      <c r="G449">
        <v>227.00426999999999</v>
      </c>
      <c r="I449">
        <f t="shared" si="24"/>
        <v>0.19826640470947862</v>
      </c>
      <c r="J449">
        <f t="shared" si="25"/>
        <v>0</v>
      </c>
      <c r="K449">
        <f t="shared" si="26"/>
        <v>0</v>
      </c>
      <c r="L449">
        <f t="shared" si="27"/>
        <v>0</v>
      </c>
    </row>
    <row r="450" spans="1:12" x14ac:dyDescent="0.35">
      <c r="A450" s="1" t="s">
        <v>61</v>
      </c>
      <c r="B450">
        <v>0.41782808399999999</v>
      </c>
      <c r="C450">
        <v>3.2192000000000002E-3</v>
      </c>
      <c r="D450">
        <v>0</v>
      </c>
      <c r="E450">
        <v>0</v>
      </c>
      <c r="F450">
        <v>0</v>
      </c>
      <c r="G450">
        <v>227.42209</v>
      </c>
      <c r="I450">
        <f t="shared" si="24"/>
        <v>0.15419875865034546</v>
      </c>
      <c r="J450">
        <f t="shared" si="25"/>
        <v>0</v>
      </c>
      <c r="K450">
        <f t="shared" si="26"/>
        <v>0</v>
      </c>
      <c r="L450">
        <f t="shared" si="27"/>
        <v>0</v>
      </c>
    </row>
    <row r="451" spans="1:12" x14ac:dyDescent="0.35">
      <c r="A451" s="1" t="s">
        <v>62</v>
      </c>
      <c r="B451">
        <v>0.41782794400000001</v>
      </c>
      <c r="C451">
        <v>2.3392E-3</v>
      </c>
      <c r="D451">
        <v>0</v>
      </c>
      <c r="E451">
        <v>0</v>
      </c>
      <c r="F451">
        <v>0</v>
      </c>
      <c r="G451">
        <v>227.83992000000001</v>
      </c>
      <c r="I451">
        <f t="shared" si="24"/>
        <v>0.11204704805350077</v>
      </c>
      <c r="J451">
        <f t="shared" si="25"/>
        <v>0</v>
      </c>
      <c r="K451">
        <f t="shared" si="26"/>
        <v>0</v>
      </c>
      <c r="L451">
        <f t="shared" si="27"/>
        <v>0</v>
      </c>
    </row>
    <row r="452" spans="1:12" x14ac:dyDescent="0.35">
      <c r="A452" s="1" t="s">
        <v>63</v>
      </c>
      <c r="B452">
        <v>0.21199999999999999</v>
      </c>
      <c r="C452">
        <v>0</v>
      </c>
      <c r="D452">
        <v>-2.3709669899999999</v>
      </c>
      <c r="E452">
        <v>0</v>
      </c>
      <c r="F452">
        <v>0</v>
      </c>
      <c r="G452">
        <v>228.09891999999999</v>
      </c>
      <c r="I452">
        <f t="shared" ref="I452:I515" si="28">$H$2*$C452/$B452</f>
        <v>0</v>
      </c>
      <c r="J452">
        <f t="shared" ref="J452:J515" si="29">$H$2*$D452</f>
        <v>-47.452167353748784</v>
      </c>
      <c r="K452">
        <f t="shared" ref="K452:K515" si="30">$H$2*$E452</f>
        <v>0</v>
      </c>
      <c r="L452">
        <f t="shared" ref="L452:L515" si="31">$H$2*$F452</f>
        <v>0</v>
      </c>
    </row>
    <row r="453" spans="1:12" x14ac:dyDescent="0.35">
      <c r="A453" s="1" t="s">
        <v>64</v>
      </c>
      <c r="B453">
        <v>0.16600000000000001</v>
      </c>
      <c r="C453">
        <v>0</v>
      </c>
      <c r="D453">
        <v>0</v>
      </c>
      <c r="E453">
        <v>-132.861086</v>
      </c>
      <c r="F453">
        <v>0</v>
      </c>
      <c r="G453">
        <v>228.33992000000001</v>
      </c>
      <c r="I453">
        <f t="shared" si="28"/>
        <v>0</v>
      </c>
      <c r="J453">
        <f t="shared" si="29"/>
        <v>0</v>
      </c>
      <c r="K453">
        <f t="shared" si="30"/>
        <v>-2659.0612666744933</v>
      </c>
      <c r="L453">
        <f t="shared" si="31"/>
        <v>0</v>
      </c>
    </row>
    <row r="454" spans="1:12" x14ac:dyDescent="0.35">
      <c r="A454" s="1" t="s">
        <v>65</v>
      </c>
      <c r="B454">
        <v>0.21199999999999999</v>
      </c>
      <c r="C454">
        <v>0</v>
      </c>
      <c r="D454">
        <v>2.47240752</v>
      </c>
      <c r="E454">
        <v>0</v>
      </c>
      <c r="F454">
        <v>0</v>
      </c>
      <c r="G454">
        <v>229.15278000000001</v>
      </c>
      <c r="I454">
        <f t="shared" si="28"/>
        <v>0</v>
      </c>
      <c r="J454">
        <f t="shared" si="29"/>
        <v>49.48238246273813</v>
      </c>
      <c r="K454">
        <f t="shared" si="30"/>
        <v>0</v>
      </c>
      <c r="L454">
        <f t="shared" si="31"/>
        <v>0</v>
      </c>
    </row>
    <row r="455" spans="1:12" x14ac:dyDescent="0.35">
      <c r="A455" s="1" t="s">
        <v>66</v>
      </c>
      <c r="B455">
        <v>0.1</v>
      </c>
      <c r="C455">
        <v>0</v>
      </c>
      <c r="D455">
        <v>0</v>
      </c>
      <c r="E455">
        <v>172.62799999999999</v>
      </c>
      <c r="F455">
        <v>0</v>
      </c>
      <c r="G455">
        <v>229.32777999999999</v>
      </c>
      <c r="I455">
        <f t="shared" si="28"/>
        <v>0</v>
      </c>
      <c r="J455">
        <f t="shared" si="29"/>
        <v>0</v>
      </c>
      <c r="K455">
        <f t="shared" si="30"/>
        <v>3454.9501450220296</v>
      </c>
      <c r="L455">
        <f t="shared" si="31"/>
        <v>0</v>
      </c>
    </row>
    <row r="456" spans="1:12" x14ac:dyDescent="0.35">
      <c r="A456" s="1" t="s">
        <v>66</v>
      </c>
      <c r="B456">
        <v>0.1</v>
      </c>
      <c r="C456">
        <v>0</v>
      </c>
      <c r="D456">
        <v>0</v>
      </c>
      <c r="E456">
        <v>172.62799999999999</v>
      </c>
      <c r="F456">
        <v>0</v>
      </c>
      <c r="G456">
        <f>229.32778+0.1</f>
        <v>229.42777999999998</v>
      </c>
      <c r="I456">
        <f t="shared" si="28"/>
        <v>0</v>
      </c>
      <c r="J456">
        <f t="shared" si="29"/>
        <v>0</v>
      </c>
      <c r="K456">
        <f t="shared" si="30"/>
        <v>3454.9501450220296</v>
      </c>
      <c r="L456">
        <f t="shared" si="31"/>
        <v>0</v>
      </c>
    </row>
    <row r="457" spans="1:12" x14ac:dyDescent="0.35">
      <c r="A457" s="1" t="s">
        <v>67</v>
      </c>
      <c r="B457">
        <v>0.21199999999999999</v>
      </c>
      <c r="C457">
        <v>0</v>
      </c>
      <c r="D457">
        <v>2.47240752</v>
      </c>
      <c r="E457">
        <v>0</v>
      </c>
      <c r="F457">
        <v>0</v>
      </c>
      <c r="G457">
        <v>229.71477999999999</v>
      </c>
      <c r="I457">
        <f t="shared" si="28"/>
        <v>0</v>
      </c>
      <c r="J457">
        <f t="shared" si="29"/>
        <v>49.48238246273813</v>
      </c>
      <c r="K457">
        <f t="shared" si="30"/>
        <v>0</v>
      </c>
      <c r="L457">
        <f t="shared" si="31"/>
        <v>0</v>
      </c>
    </row>
    <row r="458" spans="1:12" x14ac:dyDescent="0.35">
      <c r="A458" s="1" t="s">
        <v>68</v>
      </c>
      <c r="B458">
        <v>0.09</v>
      </c>
      <c r="C458">
        <v>0</v>
      </c>
      <c r="D458">
        <v>0</v>
      </c>
      <c r="E458">
        <v>0</v>
      </c>
      <c r="F458">
        <v>-13632</v>
      </c>
      <c r="G458">
        <v>229.86478</v>
      </c>
      <c r="I458">
        <f t="shared" si="28"/>
        <v>0</v>
      </c>
      <c r="J458">
        <f t="shared" si="29"/>
        <v>0</v>
      </c>
      <c r="K458">
        <f t="shared" si="30"/>
        <v>0</v>
      </c>
      <c r="L458">
        <f t="shared" si="31"/>
        <v>-272828.74375501258</v>
      </c>
    </row>
    <row r="459" spans="1:12" x14ac:dyDescent="0.35">
      <c r="A459" s="1" t="s">
        <v>69</v>
      </c>
      <c r="B459">
        <v>0.16600000000000001</v>
      </c>
      <c r="C459">
        <v>0</v>
      </c>
      <c r="D459">
        <v>0</v>
      </c>
      <c r="E459">
        <v>-202.23429300000001</v>
      </c>
      <c r="F459">
        <v>0</v>
      </c>
      <c r="G459">
        <v>230.48163</v>
      </c>
      <c r="I459">
        <f t="shared" si="28"/>
        <v>0</v>
      </c>
      <c r="J459">
        <f t="shared" si="29"/>
        <v>0</v>
      </c>
      <c r="K459">
        <f t="shared" si="30"/>
        <v>-4047.4859230760812</v>
      </c>
      <c r="L459">
        <f t="shared" si="31"/>
        <v>0</v>
      </c>
    </row>
    <row r="460" spans="1:12" x14ac:dyDescent="0.35">
      <c r="A460" s="1" t="s">
        <v>70</v>
      </c>
      <c r="B460">
        <v>0.21199999999999999</v>
      </c>
      <c r="C460">
        <v>0</v>
      </c>
      <c r="D460">
        <v>-2.53358734</v>
      </c>
      <c r="E460">
        <v>0</v>
      </c>
      <c r="F460">
        <v>0</v>
      </c>
      <c r="G460">
        <v>230.76863</v>
      </c>
      <c r="I460">
        <f t="shared" si="28"/>
        <v>0</v>
      </c>
      <c r="J460">
        <f t="shared" si="29"/>
        <v>-50.706825936458621</v>
      </c>
      <c r="K460">
        <f t="shared" si="30"/>
        <v>0</v>
      </c>
      <c r="L460">
        <f t="shared" si="31"/>
        <v>0</v>
      </c>
    </row>
    <row r="461" spans="1:12" x14ac:dyDescent="0.35">
      <c r="A461" s="1" t="s">
        <v>20</v>
      </c>
      <c r="B461">
        <v>0.41782794400000001</v>
      </c>
      <c r="C461">
        <v>2.3392E-3</v>
      </c>
      <c r="D461">
        <v>0</v>
      </c>
      <c r="E461">
        <v>0</v>
      </c>
      <c r="F461">
        <v>0</v>
      </c>
      <c r="G461">
        <v>231.23346000000001</v>
      </c>
      <c r="I461">
        <f t="shared" si="28"/>
        <v>0.11204704805350077</v>
      </c>
      <c r="J461">
        <f t="shared" si="29"/>
        <v>0</v>
      </c>
      <c r="K461">
        <f t="shared" si="30"/>
        <v>0</v>
      </c>
      <c r="L461">
        <f t="shared" si="31"/>
        <v>0</v>
      </c>
    </row>
    <row r="462" spans="1:12" x14ac:dyDescent="0.35">
      <c r="A462" s="1" t="s">
        <v>21</v>
      </c>
      <c r="B462">
        <v>0.41782808399999999</v>
      </c>
      <c r="C462">
        <v>3.2192000000000002E-3</v>
      </c>
      <c r="D462">
        <v>0</v>
      </c>
      <c r="E462">
        <v>0</v>
      </c>
      <c r="F462">
        <v>0</v>
      </c>
      <c r="G462">
        <v>231.65128999999999</v>
      </c>
      <c r="I462">
        <f t="shared" si="28"/>
        <v>0.15419875865034546</v>
      </c>
      <c r="J462">
        <f t="shared" si="29"/>
        <v>0</v>
      </c>
      <c r="K462">
        <f t="shared" si="30"/>
        <v>0</v>
      </c>
      <c r="L462">
        <f t="shared" si="31"/>
        <v>0</v>
      </c>
    </row>
    <row r="463" spans="1:12" x14ac:dyDescent="0.35">
      <c r="A463" s="1" t="s">
        <v>22</v>
      </c>
      <c r="B463">
        <v>0.41782827500000003</v>
      </c>
      <c r="C463">
        <v>4.1392E-3</v>
      </c>
      <c r="D463">
        <v>0</v>
      </c>
      <c r="E463">
        <v>0</v>
      </c>
      <c r="F463">
        <v>0</v>
      </c>
      <c r="G463">
        <v>232.06910999999999</v>
      </c>
      <c r="I463">
        <f t="shared" si="28"/>
        <v>0.19826640470947862</v>
      </c>
      <c r="J463">
        <f t="shared" si="29"/>
        <v>0</v>
      </c>
      <c r="K463">
        <f t="shared" si="30"/>
        <v>0</v>
      </c>
      <c r="L463">
        <f t="shared" si="31"/>
        <v>0</v>
      </c>
    </row>
    <row r="464" spans="1:12" x14ac:dyDescent="0.35">
      <c r="A464" s="1" t="s">
        <v>23</v>
      </c>
      <c r="B464">
        <v>0.41782864199999997</v>
      </c>
      <c r="C464">
        <v>5.4992000000000001E-3</v>
      </c>
      <c r="D464">
        <v>0</v>
      </c>
      <c r="E464">
        <v>0</v>
      </c>
      <c r="F464">
        <v>0</v>
      </c>
      <c r="G464">
        <v>232.48694</v>
      </c>
      <c r="I464">
        <f t="shared" si="28"/>
        <v>0.26340975432619773</v>
      </c>
      <c r="J464">
        <f t="shared" si="29"/>
        <v>0</v>
      </c>
      <c r="K464">
        <f t="shared" si="30"/>
        <v>0</v>
      </c>
      <c r="L464">
        <f t="shared" si="31"/>
        <v>0</v>
      </c>
    </row>
    <row r="465" spans="1:12" x14ac:dyDescent="0.35">
      <c r="A465" s="1" t="s">
        <v>24</v>
      </c>
      <c r="B465">
        <v>0.41782941899999998</v>
      </c>
      <c r="C465">
        <v>7.6290999999999998E-3</v>
      </c>
      <c r="D465">
        <v>0</v>
      </c>
      <c r="E465">
        <v>0</v>
      </c>
      <c r="F465">
        <v>0</v>
      </c>
      <c r="G465">
        <v>232.90477000000001</v>
      </c>
      <c r="I465">
        <f t="shared" si="28"/>
        <v>0.36543053893202671</v>
      </c>
      <c r="J465">
        <f t="shared" si="29"/>
        <v>0</v>
      </c>
      <c r="K465">
        <f t="shared" si="30"/>
        <v>0</v>
      </c>
      <c r="L465">
        <f t="shared" si="31"/>
        <v>0</v>
      </c>
    </row>
    <row r="466" spans="1:12" x14ac:dyDescent="0.35">
      <c r="A466" s="1" t="s">
        <v>71</v>
      </c>
      <c r="B466">
        <v>0.3745</v>
      </c>
      <c r="C466">
        <v>0</v>
      </c>
      <c r="D466">
        <v>4.5116622</v>
      </c>
      <c r="E466">
        <v>0</v>
      </c>
      <c r="F466">
        <v>0</v>
      </c>
      <c r="G466">
        <v>233.42927</v>
      </c>
      <c r="I466">
        <f t="shared" si="28"/>
        <v>0</v>
      </c>
      <c r="J466">
        <f t="shared" si="29"/>
        <v>90.29571084748946</v>
      </c>
      <c r="K466">
        <f t="shared" si="30"/>
        <v>0</v>
      </c>
      <c r="L466">
        <f t="shared" si="31"/>
        <v>0</v>
      </c>
    </row>
    <row r="467" spans="1:12" x14ac:dyDescent="0.35">
      <c r="A467" s="1" t="s">
        <v>72</v>
      </c>
      <c r="B467">
        <v>1.0280365199999999</v>
      </c>
      <c r="C467">
        <v>2.4767999999999998E-2</v>
      </c>
      <c r="D467">
        <v>-1.929</v>
      </c>
      <c r="E467">
        <v>0</v>
      </c>
      <c r="F467">
        <v>0</v>
      </c>
      <c r="G467">
        <v>234.54731000000001</v>
      </c>
      <c r="I467">
        <f t="shared" si="28"/>
        <v>0.48218416286837618</v>
      </c>
      <c r="J467">
        <f t="shared" si="29"/>
        <v>-38.606708238220314</v>
      </c>
      <c r="K467">
        <f t="shared" si="30"/>
        <v>0</v>
      </c>
      <c r="L467">
        <f t="shared" si="31"/>
        <v>0</v>
      </c>
    </row>
    <row r="468" spans="1:12" x14ac:dyDescent="0.35">
      <c r="A468" s="1" t="s">
        <v>73</v>
      </c>
      <c r="B468">
        <v>0.4975</v>
      </c>
      <c r="C468">
        <v>0</v>
      </c>
      <c r="D468">
        <v>4.61414189</v>
      </c>
      <c r="E468">
        <v>0</v>
      </c>
      <c r="F468">
        <v>0</v>
      </c>
      <c r="G468">
        <v>235.13480999999999</v>
      </c>
      <c r="I468">
        <f t="shared" si="28"/>
        <v>0</v>
      </c>
      <c r="J468">
        <f t="shared" si="29"/>
        <v>92.346723544313335</v>
      </c>
      <c r="K468">
        <f t="shared" si="30"/>
        <v>0</v>
      </c>
      <c r="L468">
        <f t="shared" si="31"/>
        <v>0</v>
      </c>
    </row>
    <row r="469" spans="1:12" x14ac:dyDescent="0.35">
      <c r="A469" s="1" t="s">
        <v>28</v>
      </c>
      <c r="B469">
        <v>0.1</v>
      </c>
      <c r="C469">
        <v>0</v>
      </c>
      <c r="D469">
        <v>0</v>
      </c>
      <c r="E469">
        <v>0</v>
      </c>
      <c r="F469">
        <v>0</v>
      </c>
      <c r="G469">
        <v>235.30588</v>
      </c>
      <c r="I469">
        <f t="shared" si="28"/>
        <v>0</v>
      </c>
      <c r="J469">
        <f t="shared" si="29"/>
        <v>0</v>
      </c>
      <c r="K469">
        <f t="shared" si="30"/>
        <v>0</v>
      </c>
      <c r="L469">
        <f t="shared" si="31"/>
        <v>0</v>
      </c>
    </row>
    <row r="470" spans="1:12" x14ac:dyDescent="0.35">
      <c r="A470" s="1" t="s">
        <v>74</v>
      </c>
      <c r="B470">
        <v>0.40000102700000001</v>
      </c>
      <c r="C470">
        <v>5.2300999999999997E-3</v>
      </c>
      <c r="D470">
        <v>-1.5815999999999999</v>
      </c>
      <c r="E470">
        <v>0</v>
      </c>
      <c r="F470">
        <v>0</v>
      </c>
      <c r="G470">
        <v>235.79888</v>
      </c>
      <c r="I470">
        <f t="shared" si="28"/>
        <v>0.26168536331815889</v>
      </c>
      <c r="J470">
        <f t="shared" si="29"/>
        <v>-31.653898263125576</v>
      </c>
      <c r="K470">
        <f t="shared" si="30"/>
        <v>0</v>
      </c>
      <c r="L470">
        <f t="shared" si="31"/>
        <v>0</v>
      </c>
    </row>
    <row r="471" spans="1:12" x14ac:dyDescent="0.35">
      <c r="A471" s="1" t="s">
        <v>30</v>
      </c>
      <c r="B471">
        <v>2.44294E-2</v>
      </c>
      <c r="C471">
        <v>1.0499000000000001E-3</v>
      </c>
      <c r="D471">
        <v>0</v>
      </c>
      <c r="E471">
        <v>0</v>
      </c>
      <c r="F471">
        <v>0</v>
      </c>
      <c r="G471">
        <v>235.89381</v>
      </c>
      <c r="I471">
        <f t="shared" si="28"/>
        <v>0.8601331402616047</v>
      </c>
      <c r="J471">
        <f t="shared" si="29"/>
        <v>0</v>
      </c>
      <c r="K471">
        <f t="shared" si="30"/>
        <v>0</v>
      </c>
      <c r="L471">
        <f t="shared" si="31"/>
        <v>0</v>
      </c>
    </row>
    <row r="472" spans="1:12" x14ac:dyDescent="0.35">
      <c r="A472" s="1" t="s">
        <v>30</v>
      </c>
      <c r="B472">
        <v>2.44294E-2</v>
      </c>
      <c r="C472">
        <v>1.0499000000000001E-3</v>
      </c>
      <c r="D472">
        <v>0</v>
      </c>
      <c r="E472">
        <v>0</v>
      </c>
      <c r="F472">
        <v>0</v>
      </c>
      <c r="G472">
        <f>235.89381+0.0244294</f>
        <v>235.9182394</v>
      </c>
      <c r="I472">
        <f t="shared" si="28"/>
        <v>0.8601331402616047</v>
      </c>
      <c r="J472">
        <f t="shared" si="29"/>
        <v>0</v>
      </c>
      <c r="K472">
        <f t="shared" si="30"/>
        <v>0</v>
      </c>
      <c r="L472">
        <f t="shared" si="31"/>
        <v>0</v>
      </c>
    </row>
    <row r="473" spans="1:12" x14ac:dyDescent="0.35">
      <c r="A473" s="1" t="s">
        <v>75</v>
      </c>
      <c r="B473">
        <v>0.40000102700000001</v>
      </c>
      <c r="C473">
        <v>5.2300999999999997E-3</v>
      </c>
      <c r="D473">
        <v>-1.5815999999999999</v>
      </c>
      <c r="E473">
        <v>0</v>
      </c>
      <c r="F473">
        <v>0</v>
      </c>
      <c r="G473">
        <v>236.38874000000001</v>
      </c>
      <c r="I473">
        <f t="shared" si="28"/>
        <v>0.26168536331815889</v>
      </c>
      <c r="J473">
        <f t="shared" si="29"/>
        <v>-31.653898263125576</v>
      </c>
      <c r="K473">
        <f t="shared" si="30"/>
        <v>0</v>
      </c>
      <c r="L473">
        <f t="shared" si="31"/>
        <v>0</v>
      </c>
    </row>
    <row r="474" spans="1:12" x14ac:dyDescent="0.35">
      <c r="A474" s="1" t="s">
        <v>76</v>
      </c>
      <c r="B474">
        <v>0.4975</v>
      </c>
      <c r="C474">
        <v>0</v>
      </c>
      <c r="D474">
        <v>4.61414189</v>
      </c>
      <c r="E474">
        <v>0</v>
      </c>
      <c r="F474">
        <v>0</v>
      </c>
      <c r="G474">
        <v>237.15030999999999</v>
      </c>
      <c r="I474">
        <f t="shared" si="28"/>
        <v>0</v>
      </c>
      <c r="J474">
        <f t="shared" si="29"/>
        <v>92.346723544313335</v>
      </c>
      <c r="K474">
        <f t="shared" si="30"/>
        <v>0</v>
      </c>
      <c r="L474">
        <f t="shared" si="31"/>
        <v>0</v>
      </c>
    </row>
    <row r="475" spans="1:12" x14ac:dyDescent="0.35">
      <c r="A475" s="1" t="s">
        <v>77</v>
      </c>
      <c r="B475">
        <v>1.0280365199999999</v>
      </c>
      <c r="C475">
        <v>2.4767999999999998E-2</v>
      </c>
      <c r="D475">
        <v>-1.929</v>
      </c>
      <c r="E475">
        <v>0</v>
      </c>
      <c r="F475">
        <v>0</v>
      </c>
      <c r="G475">
        <v>238.26835</v>
      </c>
      <c r="I475">
        <f t="shared" si="28"/>
        <v>0.48218416286837618</v>
      </c>
      <c r="J475">
        <f t="shared" si="29"/>
        <v>-38.606708238220314</v>
      </c>
      <c r="K475">
        <f t="shared" si="30"/>
        <v>0</v>
      </c>
      <c r="L475">
        <f t="shared" si="31"/>
        <v>0</v>
      </c>
    </row>
    <row r="476" spans="1:12" x14ac:dyDescent="0.35">
      <c r="A476" s="1" t="s">
        <v>78</v>
      </c>
      <c r="B476">
        <v>0.3745</v>
      </c>
      <c r="C476">
        <v>0</v>
      </c>
      <c r="D476">
        <v>4.5116622</v>
      </c>
      <c r="E476">
        <v>0</v>
      </c>
      <c r="F476">
        <v>0</v>
      </c>
      <c r="G476">
        <v>238.73285000000001</v>
      </c>
      <c r="I476">
        <f t="shared" si="28"/>
        <v>0</v>
      </c>
      <c r="J476">
        <f t="shared" si="29"/>
        <v>90.29571084748946</v>
      </c>
      <c r="K476">
        <f t="shared" si="30"/>
        <v>0</v>
      </c>
      <c r="L476">
        <f t="shared" si="31"/>
        <v>0</v>
      </c>
    </row>
    <row r="477" spans="1:12" x14ac:dyDescent="0.35">
      <c r="A477" s="1" t="s">
        <v>35</v>
      </c>
      <c r="B477">
        <v>0.41782941899999998</v>
      </c>
      <c r="C477">
        <v>7.6290999999999998E-3</v>
      </c>
      <c r="D477">
        <v>0</v>
      </c>
      <c r="E477">
        <v>0</v>
      </c>
      <c r="F477">
        <v>0</v>
      </c>
      <c r="G477">
        <v>239.30068</v>
      </c>
      <c r="I477">
        <f t="shared" si="28"/>
        <v>0.36543053893202671</v>
      </c>
      <c r="J477">
        <f t="shared" si="29"/>
        <v>0</v>
      </c>
      <c r="K477">
        <f t="shared" si="30"/>
        <v>0</v>
      </c>
      <c r="L477">
        <f t="shared" si="31"/>
        <v>0</v>
      </c>
    </row>
    <row r="478" spans="1:12" x14ac:dyDescent="0.35">
      <c r="A478" s="1" t="s">
        <v>36</v>
      </c>
      <c r="B478">
        <v>0.41782864199999997</v>
      </c>
      <c r="C478">
        <v>5.4992000000000001E-3</v>
      </c>
      <c r="D478">
        <v>0</v>
      </c>
      <c r="E478">
        <v>0</v>
      </c>
      <c r="F478">
        <v>0</v>
      </c>
      <c r="G478">
        <v>239.71851000000001</v>
      </c>
      <c r="I478">
        <f t="shared" si="28"/>
        <v>0.26340975432619773</v>
      </c>
      <c r="J478">
        <f t="shared" si="29"/>
        <v>0</v>
      </c>
      <c r="K478">
        <f t="shared" si="30"/>
        <v>0</v>
      </c>
      <c r="L478">
        <f t="shared" si="31"/>
        <v>0</v>
      </c>
    </row>
    <row r="479" spans="1:12" x14ac:dyDescent="0.35">
      <c r="A479" s="1" t="s">
        <v>37</v>
      </c>
      <c r="B479">
        <v>0.41782827500000003</v>
      </c>
      <c r="C479">
        <v>4.1392E-3</v>
      </c>
      <c r="D479">
        <v>0</v>
      </c>
      <c r="E479">
        <v>0</v>
      </c>
      <c r="F479">
        <v>0</v>
      </c>
      <c r="G479">
        <v>240.13632999999999</v>
      </c>
      <c r="I479">
        <f t="shared" si="28"/>
        <v>0.19826640470947862</v>
      </c>
      <c r="J479">
        <f t="shared" si="29"/>
        <v>0</v>
      </c>
      <c r="K479">
        <f t="shared" si="30"/>
        <v>0</v>
      </c>
      <c r="L479">
        <f t="shared" si="31"/>
        <v>0</v>
      </c>
    </row>
    <row r="480" spans="1:12" x14ac:dyDescent="0.35">
      <c r="A480" s="1" t="s">
        <v>38</v>
      </c>
      <c r="B480">
        <v>0.41782808399999999</v>
      </c>
      <c r="C480">
        <v>3.2192000000000002E-3</v>
      </c>
      <c r="D480">
        <v>0</v>
      </c>
      <c r="E480">
        <v>0</v>
      </c>
      <c r="F480">
        <v>0</v>
      </c>
      <c r="G480">
        <v>240.55416</v>
      </c>
      <c r="I480">
        <f t="shared" si="28"/>
        <v>0.15419875865034546</v>
      </c>
      <c r="J480">
        <f t="shared" si="29"/>
        <v>0</v>
      </c>
      <c r="K480">
        <f t="shared" si="30"/>
        <v>0</v>
      </c>
      <c r="L480">
        <f t="shared" si="31"/>
        <v>0</v>
      </c>
    </row>
    <row r="481" spans="1:12" x14ac:dyDescent="0.35">
      <c r="A481" s="1" t="s">
        <v>39</v>
      </c>
      <c r="B481">
        <v>0.41782794400000001</v>
      </c>
      <c r="C481">
        <v>2.3392E-3</v>
      </c>
      <c r="D481">
        <v>0</v>
      </c>
      <c r="E481">
        <v>0</v>
      </c>
      <c r="F481">
        <v>0</v>
      </c>
      <c r="G481">
        <v>240.97199000000001</v>
      </c>
      <c r="I481">
        <f t="shared" si="28"/>
        <v>0.11204704805350077</v>
      </c>
      <c r="J481">
        <f t="shared" si="29"/>
        <v>0</v>
      </c>
      <c r="K481">
        <f t="shared" si="30"/>
        <v>0</v>
      </c>
      <c r="L481">
        <f t="shared" si="31"/>
        <v>0</v>
      </c>
    </row>
    <row r="482" spans="1:12" x14ac:dyDescent="0.35">
      <c r="A482" s="1" t="s">
        <v>79</v>
      </c>
      <c r="B482">
        <v>0.21199999999999999</v>
      </c>
      <c r="C482">
        <v>0</v>
      </c>
      <c r="D482">
        <v>-2.53358734</v>
      </c>
      <c r="E482">
        <v>0</v>
      </c>
      <c r="F482">
        <v>0</v>
      </c>
      <c r="G482">
        <v>241.23098999999999</v>
      </c>
      <c r="I482">
        <f t="shared" si="28"/>
        <v>0</v>
      </c>
      <c r="J482">
        <f t="shared" si="29"/>
        <v>-50.706825936458621</v>
      </c>
      <c r="K482">
        <f t="shared" si="30"/>
        <v>0</v>
      </c>
      <c r="L482">
        <f t="shared" si="31"/>
        <v>0</v>
      </c>
    </row>
    <row r="483" spans="1:12" x14ac:dyDescent="0.35">
      <c r="A483" s="1" t="s">
        <v>80</v>
      </c>
      <c r="B483">
        <v>0.16600000000000001</v>
      </c>
      <c r="C483">
        <v>0</v>
      </c>
      <c r="D483">
        <v>0</v>
      </c>
      <c r="E483">
        <v>-202.23429300000001</v>
      </c>
      <c r="F483">
        <v>0</v>
      </c>
      <c r="G483">
        <v>241.47199000000001</v>
      </c>
      <c r="I483">
        <f t="shared" si="28"/>
        <v>0</v>
      </c>
      <c r="J483">
        <f t="shared" si="29"/>
        <v>0</v>
      </c>
      <c r="K483">
        <f t="shared" si="30"/>
        <v>-4047.4859230760812</v>
      </c>
      <c r="L483">
        <f t="shared" si="31"/>
        <v>0</v>
      </c>
    </row>
    <row r="484" spans="1:12" x14ac:dyDescent="0.35">
      <c r="A484" s="1" t="s">
        <v>81</v>
      </c>
      <c r="B484">
        <v>0.09</v>
      </c>
      <c r="C484">
        <v>0</v>
      </c>
      <c r="D484">
        <v>0</v>
      </c>
      <c r="E484">
        <v>0</v>
      </c>
      <c r="F484">
        <v>-13632</v>
      </c>
      <c r="G484">
        <v>242.01284000000001</v>
      </c>
      <c r="I484">
        <f t="shared" si="28"/>
        <v>0</v>
      </c>
      <c r="J484">
        <f t="shared" si="29"/>
        <v>0</v>
      </c>
      <c r="K484">
        <f t="shared" si="30"/>
        <v>0</v>
      </c>
      <c r="L484">
        <f t="shared" si="31"/>
        <v>-272828.74375501258</v>
      </c>
    </row>
    <row r="485" spans="1:12" x14ac:dyDescent="0.35">
      <c r="A485" s="1" t="s">
        <v>82</v>
      </c>
      <c r="B485">
        <v>0.21199999999999999</v>
      </c>
      <c r="C485">
        <v>0</v>
      </c>
      <c r="D485">
        <v>2.47240752</v>
      </c>
      <c r="E485">
        <v>0</v>
      </c>
      <c r="F485">
        <v>0</v>
      </c>
      <c r="G485">
        <v>242.28484</v>
      </c>
      <c r="I485">
        <f t="shared" si="28"/>
        <v>0</v>
      </c>
      <c r="J485">
        <f t="shared" si="29"/>
        <v>49.48238246273813</v>
      </c>
      <c r="K485">
        <f t="shared" si="30"/>
        <v>0</v>
      </c>
      <c r="L485">
        <f t="shared" si="31"/>
        <v>0</v>
      </c>
    </row>
    <row r="486" spans="1:12" x14ac:dyDescent="0.35">
      <c r="A486" s="1" t="s">
        <v>83</v>
      </c>
      <c r="B486">
        <v>0.1</v>
      </c>
      <c r="C486">
        <v>0</v>
      </c>
      <c r="D486">
        <v>0</v>
      </c>
      <c r="E486">
        <v>172.62799999999999</v>
      </c>
      <c r="F486">
        <v>0</v>
      </c>
      <c r="G486">
        <v>242.45984000000001</v>
      </c>
      <c r="I486">
        <f t="shared" si="28"/>
        <v>0</v>
      </c>
      <c r="J486">
        <f t="shared" si="29"/>
        <v>0</v>
      </c>
      <c r="K486">
        <f t="shared" si="30"/>
        <v>3454.9501450220296</v>
      </c>
      <c r="L486">
        <f t="shared" si="31"/>
        <v>0</v>
      </c>
    </row>
    <row r="487" spans="1:12" x14ac:dyDescent="0.35">
      <c r="A487" s="1" t="s">
        <v>83</v>
      </c>
      <c r="B487">
        <v>0.1</v>
      </c>
      <c r="C487">
        <v>0</v>
      </c>
      <c r="D487">
        <v>0</v>
      </c>
      <c r="E487">
        <v>172.62799999999999</v>
      </c>
      <c r="F487">
        <v>0</v>
      </c>
      <c r="G487">
        <f>0.1+242.45984</f>
        <v>242.55984000000001</v>
      </c>
      <c r="I487">
        <f t="shared" si="28"/>
        <v>0</v>
      </c>
      <c r="J487">
        <f t="shared" si="29"/>
        <v>0</v>
      </c>
      <c r="K487">
        <f t="shared" si="30"/>
        <v>3454.9501450220296</v>
      </c>
      <c r="L487">
        <f t="shared" si="31"/>
        <v>0</v>
      </c>
    </row>
    <row r="488" spans="1:12" x14ac:dyDescent="0.35">
      <c r="A488" s="1" t="s">
        <v>84</v>
      </c>
      <c r="B488">
        <v>0.21199999999999999</v>
      </c>
      <c r="C488">
        <v>0</v>
      </c>
      <c r="D488">
        <v>2.47240752</v>
      </c>
      <c r="E488">
        <v>0</v>
      </c>
      <c r="F488">
        <v>0</v>
      </c>
      <c r="G488">
        <v>242.84683999999999</v>
      </c>
      <c r="I488">
        <f t="shared" si="28"/>
        <v>0</v>
      </c>
      <c r="J488">
        <f t="shared" si="29"/>
        <v>49.48238246273813</v>
      </c>
      <c r="K488">
        <f t="shared" si="30"/>
        <v>0</v>
      </c>
      <c r="L488">
        <f t="shared" si="31"/>
        <v>0</v>
      </c>
    </row>
    <row r="489" spans="1:12" x14ac:dyDescent="0.35">
      <c r="A489" s="1" t="s">
        <v>85</v>
      </c>
      <c r="B489">
        <v>0.16600000000000001</v>
      </c>
      <c r="C489">
        <v>0</v>
      </c>
      <c r="D489">
        <v>0</v>
      </c>
      <c r="E489">
        <v>-132.861086</v>
      </c>
      <c r="F489">
        <v>0</v>
      </c>
      <c r="G489">
        <v>243.61369999999999</v>
      </c>
      <c r="I489">
        <f t="shared" si="28"/>
        <v>0</v>
      </c>
      <c r="J489">
        <f t="shared" si="29"/>
        <v>0</v>
      </c>
      <c r="K489">
        <f t="shared" si="30"/>
        <v>-2659.0612666744933</v>
      </c>
      <c r="L489">
        <f t="shared" si="31"/>
        <v>0</v>
      </c>
    </row>
    <row r="490" spans="1:12" x14ac:dyDescent="0.35">
      <c r="A490" s="1" t="s">
        <v>86</v>
      </c>
      <c r="B490">
        <v>0.21199999999999999</v>
      </c>
      <c r="C490">
        <v>0</v>
      </c>
      <c r="D490">
        <v>-2.3709669899999999</v>
      </c>
      <c r="E490">
        <v>0</v>
      </c>
      <c r="F490">
        <v>0</v>
      </c>
      <c r="G490">
        <v>243.9007</v>
      </c>
      <c r="I490">
        <f t="shared" si="28"/>
        <v>0</v>
      </c>
      <c r="J490">
        <f t="shared" si="29"/>
        <v>-47.452167353748784</v>
      </c>
      <c r="K490">
        <f t="shared" si="30"/>
        <v>0</v>
      </c>
      <c r="L490">
        <f t="shared" si="31"/>
        <v>0</v>
      </c>
    </row>
    <row r="491" spans="1:12" x14ac:dyDescent="0.35">
      <c r="A491" s="1" t="s">
        <v>48</v>
      </c>
      <c r="B491">
        <v>0.41782794400000001</v>
      </c>
      <c r="C491">
        <v>2.3392E-3</v>
      </c>
      <c r="D491">
        <v>0</v>
      </c>
      <c r="E491">
        <v>0</v>
      </c>
      <c r="F491">
        <v>0</v>
      </c>
      <c r="G491">
        <v>244.36552</v>
      </c>
      <c r="I491">
        <f t="shared" si="28"/>
        <v>0.11204704805350077</v>
      </c>
      <c r="J491">
        <f t="shared" si="29"/>
        <v>0</v>
      </c>
      <c r="K491">
        <f t="shared" si="30"/>
        <v>0</v>
      </c>
      <c r="L491">
        <f t="shared" si="31"/>
        <v>0</v>
      </c>
    </row>
    <row r="492" spans="1:12" x14ac:dyDescent="0.35">
      <c r="A492" s="1" t="s">
        <v>49</v>
      </c>
      <c r="B492">
        <v>0.41782808399999999</v>
      </c>
      <c r="C492">
        <v>3.2192000000000002E-3</v>
      </c>
      <c r="D492">
        <v>0</v>
      </c>
      <c r="E492">
        <v>0</v>
      </c>
      <c r="F492">
        <v>0</v>
      </c>
      <c r="G492">
        <v>244.78335000000001</v>
      </c>
      <c r="I492">
        <f t="shared" si="28"/>
        <v>0.15419875865034546</v>
      </c>
      <c r="J492">
        <f t="shared" si="29"/>
        <v>0</v>
      </c>
      <c r="K492">
        <f t="shared" si="30"/>
        <v>0</v>
      </c>
      <c r="L492">
        <f t="shared" si="31"/>
        <v>0</v>
      </c>
    </row>
    <row r="493" spans="1:12" x14ac:dyDescent="0.35">
      <c r="A493" s="1" t="s">
        <v>50</v>
      </c>
      <c r="B493">
        <v>0.41782827500000003</v>
      </c>
      <c r="C493">
        <v>4.1392E-3</v>
      </c>
      <c r="D493">
        <v>0</v>
      </c>
      <c r="E493">
        <v>0</v>
      </c>
      <c r="F493">
        <v>0</v>
      </c>
      <c r="G493">
        <v>245.20117999999999</v>
      </c>
      <c r="I493">
        <f t="shared" si="28"/>
        <v>0.19826640470947862</v>
      </c>
      <c r="J493">
        <f t="shared" si="29"/>
        <v>0</v>
      </c>
      <c r="K493">
        <f t="shared" si="30"/>
        <v>0</v>
      </c>
      <c r="L493">
        <f t="shared" si="31"/>
        <v>0</v>
      </c>
    </row>
    <row r="494" spans="1:12" x14ac:dyDescent="0.35">
      <c r="A494" s="1" t="s">
        <v>51</v>
      </c>
      <c r="B494">
        <v>0.41782864199999997</v>
      </c>
      <c r="C494">
        <v>5.4992000000000001E-3</v>
      </c>
      <c r="D494">
        <v>0</v>
      </c>
      <c r="E494">
        <v>0</v>
      </c>
      <c r="F494">
        <v>0</v>
      </c>
      <c r="G494">
        <v>245.61901</v>
      </c>
      <c r="I494">
        <f t="shared" si="28"/>
        <v>0.26340975432619773</v>
      </c>
      <c r="J494">
        <f t="shared" si="29"/>
        <v>0</v>
      </c>
      <c r="K494">
        <f t="shared" si="30"/>
        <v>0</v>
      </c>
      <c r="L494">
        <f t="shared" si="31"/>
        <v>0</v>
      </c>
    </row>
    <row r="495" spans="1:12" x14ac:dyDescent="0.35">
      <c r="A495" s="1" t="s">
        <v>52</v>
      </c>
      <c r="B495">
        <v>0.41783028900000002</v>
      </c>
      <c r="C495">
        <v>9.4690999999999994E-3</v>
      </c>
      <c r="D495">
        <v>0</v>
      </c>
      <c r="E495">
        <v>0</v>
      </c>
      <c r="F495">
        <v>0</v>
      </c>
      <c r="G495">
        <v>246.03684000000001</v>
      </c>
      <c r="I495">
        <f t="shared" si="28"/>
        <v>0.45356478630764774</v>
      </c>
      <c r="J495">
        <f t="shared" si="29"/>
        <v>0</v>
      </c>
      <c r="K495">
        <f t="shared" si="30"/>
        <v>0</v>
      </c>
      <c r="L495">
        <f t="shared" si="31"/>
        <v>0</v>
      </c>
    </row>
    <row r="496" spans="1:12" x14ac:dyDescent="0.35">
      <c r="A496" s="1" t="s">
        <v>87</v>
      </c>
      <c r="B496">
        <v>0.16200000000000001</v>
      </c>
      <c r="C496">
        <v>0</v>
      </c>
      <c r="D496">
        <v>-2.8698264299999998</v>
      </c>
      <c r="E496">
        <v>0</v>
      </c>
      <c r="F496">
        <v>0</v>
      </c>
      <c r="G496">
        <v>246.24583999999999</v>
      </c>
      <c r="I496">
        <f t="shared" si="28"/>
        <v>0</v>
      </c>
      <c r="J496">
        <f t="shared" si="29"/>
        <v>-57.436263181619168</v>
      </c>
      <c r="K496">
        <f t="shared" si="30"/>
        <v>0</v>
      </c>
      <c r="L496">
        <f t="shared" si="31"/>
        <v>0</v>
      </c>
    </row>
    <row r="497" spans="1:12" x14ac:dyDescent="0.35">
      <c r="A497" s="1" t="s">
        <v>54</v>
      </c>
      <c r="B497">
        <v>0.1</v>
      </c>
      <c r="C497">
        <v>0</v>
      </c>
      <c r="D497">
        <v>0</v>
      </c>
      <c r="E497">
        <v>0</v>
      </c>
      <c r="F497">
        <v>0</v>
      </c>
      <c r="G497">
        <v>246.57584</v>
      </c>
      <c r="I497">
        <f t="shared" si="28"/>
        <v>0</v>
      </c>
      <c r="J497">
        <f t="shared" si="29"/>
        <v>0</v>
      </c>
      <c r="K497">
        <f t="shared" si="30"/>
        <v>0</v>
      </c>
      <c r="L497">
        <f t="shared" si="31"/>
        <v>0</v>
      </c>
    </row>
    <row r="498" spans="1:12" x14ac:dyDescent="0.35">
      <c r="A498" s="1" t="s">
        <v>88</v>
      </c>
      <c r="B498">
        <v>0.29499999999999998</v>
      </c>
      <c r="C498">
        <v>0</v>
      </c>
      <c r="D498">
        <v>2.43875777</v>
      </c>
      <c r="E498">
        <v>0</v>
      </c>
      <c r="F498">
        <v>0</v>
      </c>
      <c r="G498">
        <v>246.98084</v>
      </c>
      <c r="I498">
        <f t="shared" si="28"/>
        <v>0</v>
      </c>
      <c r="J498">
        <f t="shared" si="29"/>
        <v>48.808921560436907</v>
      </c>
      <c r="K498">
        <f t="shared" si="30"/>
        <v>0</v>
      </c>
      <c r="L498">
        <f t="shared" si="31"/>
        <v>0</v>
      </c>
    </row>
    <row r="499" spans="1:12" x14ac:dyDescent="0.35">
      <c r="A499" s="1" t="s">
        <v>56</v>
      </c>
      <c r="B499">
        <v>0.29499999999999998</v>
      </c>
      <c r="C499">
        <v>0</v>
      </c>
      <c r="D499">
        <v>2.43875777</v>
      </c>
      <c r="E499">
        <v>0</v>
      </c>
      <c r="F499">
        <v>0</v>
      </c>
      <c r="G499">
        <v>252.85399000000001</v>
      </c>
      <c r="I499">
        <f t="shared" si="28"/>
        <v>0</v>
      </c>
      <c r="J499">
        <f t="shared" si="29"/>
        <v>48.808921560436907</v>
      </c>
      <c r="K499">
        <f t="shared" si="30"/>
        <v>0</v>
      </c>
      <c r="L499">
        <f t="shared" si="31"/>
        <v>0</v>
      </c>
    </row>
    <row r="500" spans="1:12" x14ac:dyDescent="0.35">
      <c r="A500" s="1" t="s">
        <v>2</v>
      </c>
      <c r="B500">
        <v>0.1</v>
      </c>
      <c r="C500">
        <v>0</v>
      </c>
      <c r="D500">
        <v>0</v>
      </c>
      <c r="E500">
        <v>0</v>
      </c>
      <c r="F500">
        <v>0</v>
      </c>
      <c r="G500">
        <v>253.06398999999999</v>
      </c>
      <c r="I500">
        <f t="shared" si="28"/>
        <v>0</v>
      </c>
      <c r="J500">
        <f t="shared" si="29"/>
        <v>0</v>
      </c>
      <c r="K500">
        <f t="shared" si="30"/>
        <v>0</v>
      </c>
      <c r="L500">
        <f t="shared" si="31"/>
        <v>0</v>
      </c>
    </row>
    <row r="501" spans="1:12" x14ac:dyDescent="0.35">
      <c r="A501" s="1" t="s">
        <v>57</v>
      </c>
      <c r="B501">
        <v>0.16200000000000001</v>
      </c>
      <c r="C501">
        <v>0</v>
      </c>
      <c r="D501">
        <v>-2.8698264299999998</v>
      </c>
      <c r="E501">
        <v>0</v>
      </c>
      <c r="F501">
        <v>0</v>
      </c>
      <c r="G501">
        <v>253.45599000000001</v>
      </c>
      <c r="I501">
        <f t="shared" si="28"/>
        <v>0</v>
      </c>
      <c r="J501">
        <f t="shared" si="29"/>
        <v>-57.436263181619168</v>
      </c>
      <c r="K501">
        <f t="shared" si="30"/>
        <v>0</v>
      </c>
      <c r="L501">
        <f t="shared" si="31"/>
        <v>0</v>
      </c>
    </row>
    <row r="502" spans="1:12" x14ac:dyDescent="0.35">
      <c r="A502" s="1" t="s">
        <v>58</v>
      </c>
      <c r="B502">
        <v>0.41783028900000002</v>
      </c>
      <c r="C502">
        <v>9.4690999999999994E-3</v>
      </c>
      <c r="D502">
        <v>0</v>
      </c>
      <c r="E502">
        <v>0</v>
      </c>
      <c r="F502">
        <v>0</v>
      </c>
      <c r="G502">
        <v>253.92081999999999</v>
      </c>
      <c r="I502">
        <f t="shared" si="28"/>
        <v>0.45356478630764774</v>
      </c>
      <c r="J502">
        <f t="shared" si="29"/>
        <v>0</v>
      </c>
      <c r="K502">
        <f t="shared" si="30"/>
        <v>0</v>
      </c>
      <c r="L502">
        <f t="shared" si="31"/>
        <v>0</v>
      </c>
    </row>
    <row r="503" spans="1:12" x14ac:dyDescent="0.35">
      <c r="A503" s="1" t="s">
        <v>59</v>
      </c>
      <c r="B503">
        <v>0.41782864199999997</v>
      </c>
      <c r="C503">
        <v>5.4992000000000001E-3</v>
      </c>
      <c r="D503">
        <v>0</v>
      </c>
      <c r="E503">
        <v>0</v>
      </c>
      <c r="F503">
        <v>0</v>
      </c>
      <c r="G503">
        <v>254.33865</v>
      </c>
      <c r="I503">
        <f t="shared" si="28"/>
        <v>0.26340975432619773</v>
      </c>
      <c r="J503">
        <f t="shared" si="29"/>
        <v>0</v>
      </c>
      <c r="K503">
        <f t="shared" si="30"/>
        <v>0</v>
      </c>
      <c r="L503">
        <f t="shared" si="31"/>
        <v>0</v>
      </c>
    </row>
    <row r="504" spans="1:12" x14ac:dyDescent="0.35">
      <c r="A504" s="1" t="s">
        <v>60</v>
      </c>
      <c r="B504">
        <v>0.41782827500000003</v>
      </c>
      <c r="C504">
        <v>4.1392E-3</v>
      </c>
      <c r="D504">
        <v>0</v>
      </c>
      <c r="E504">
        <v>0</v>
      </c>
      <c r="F504">
        <v>0</v>
      </c>
      <c r="G504">
        <v>254.75648000000001</v>
      </c>
      <c r="I504">
        <f t="shared" si="28"/>
        <v>0.19826640470947862</v>
      </c>
      <c r="J504">
        <f t="shared" si="29"/>
        <v>0</v>
      </c>
      <c r="K504">
        <f t="shared" si="30"/>
        <v>0</v>
      </c>
      <c r="L504">
        <f t="shared" si="31"/>
        <v>0</v>
      </c>
    </row>
    <row r="505" spans="1:12" x14ac:dyDescent="0.35">
      <c r="A505" s="1" t="s">
        <v>61</v>
      </c>
      <c r="B505">
        <v>0.41782808399999999</v>
      </c>
      <c r="C505">
        <v>3.2192000000000002E-3</v>
      </c>
      <c r="D505">
        <v>0</v>
      </c>
      <c r="E505">
        <v>0</v>
      </c>
      <c r="F505">
        <v>0</v>
      </c>
      <c r="G505">
        <v>255.17430999999999</v>
      </c>
      <c r="I505">
        <f t="shared" si="28"/>
        <v>0.15419875865034546</v>
      </c>
      <c r="J505">
        <f t="shared" si="29"/>
        <v>0</v>
      </c>
      <c r="K505">
        <f t="shared" si="30"/>
        <v>0</v>
      </c>
      <c r="L505">
        <f t="shared" si="31"/>
        <v>0</v>
      </c>
    </row>
    <row r="506" spans="1:12" x14ac:dyDescent="0.35">
      <c r="A506" s="1" t="s">
        <v>62</v>
      </c>
      <c r="B506">
        <v>0.41782794400000001</v>
      </c>
      <c r="C506">
        <v>2.3392E-3</v>
      </c>
      <c r="D506">
        <v>0</v>
      </c>
      <c r="E506">
        <v>0</v>
      </c>
      <c r="F506">
        <v>0</v>
      </c>
      <c r="G506">
        <v>255.59214</v>
      </c>
      <c r="I506">
        <f t="shared" si="28"/>
        <v>0.11204704805350077</v>
      </c>
      <c r="J506">
        <f t="shared" si="29"/>
        <v>0</v>
      </c>
      <c r="K506">
        <f t="shared" si="30"/>
        <v>0</v>
      </c>
      <c r="L506">
        <f t="shared" si="31"/>
        <v>0</v>
      </c>
    </row>
    <row r="507" spans="1:12" x14ac:dyDescent="0.35">
      <c r="A507" s="1" t="s">
        <v>63</v>
      </c>
      <c r="B507">
        <v>0.21199999999999999</v>
      </c>
      <c r="C507">
        <v>0</v>
      </c>
      <c r="D507">
        <v>-2.3709669899999999</v>
      </c>
      <c r="E507">
        <v>0</v>
      </c>
      <c r="F507">
        <v>0</v>
      </c>
      <c r="G507">
        <v>255.85113999999999</v>
      </c>
      <c r="I507">
        <f t="shared" si="28"/>
        <v>0</v>
      </c>
      <c r="J507">
        <f t="shared" si="29"/>
        <v>-47.452167353748784</v>
      </c>
      <c r="K507">
        <f t="shared" si="30"/>
        <v>0</v>
      </c>
      <c r="L507">
        <f t="shared" si="31"/>
        <v>0</v>
      </c>
    </row>
    <row r="508" spans="1:12" x14ac:dyDescent="0.35">
      <c r="A508" s="1" t="s">
        <v>64</v>
      </c>
      <c r="B508">
        <v>0.16600000000000001</v>
      </c>
      <c r="C508">
        <v>0</v>
      </c>
      <c r="D508">
        <v>0</v>
      </c>
      <c r="E508">
        <v>-132.861086</v>
      </c>
      <c r="F508">
        <v>0</v>
      </c>
      <c r="G508">
        <v>256.09213999999997</v>
      </c>
      <c r="I508">
        <f t="shared" si="28"/>
        <v>0</v>
      </c>
      <c r="J508">
        <f t="shared" si="29"/>
        <v>0</v>
      </c>
      <c r="K508">
        <f t="shared" si="30"/>
        <v>-2659.0612666744933</v>
      </c>
      <c r="L508">
        <f t="shared" si="31"/>
        <v>0</v>
      </c>
    </row>
    <row r="509" spans="1:12" x14ac:dyDescent="0.35">
      <c r="A509" s="1" t="s">
        <v>65</v>
      </c>
      <c r="B509">
        <v>0.21199999999999999</v>
      </c>
      <c r="C509">
        <v>0</v>
      </c>
      <c r="D509">
        <v>2.47240752</v>
      </c>
      <c r="E509">
        <v>0</v>
      </c>
      <c r="F509">
        <v>0</v>
      </c>
      <c r="G509">
        <v>256.90499</v>
      </c>
      <c r="I509">
        <f t="shared" si="28"/>
        <v>0</v>
      </c>
      <c r="J509">
        <f t="shared" si="29"/>
        <v>49.48238246273813</v>
      </c>
      <c r="K509">
        <f t="shared" si="30"/>
        <v>0</v>
      </c>
      <c r="L509">
        <f t="shared" si="31"/>
        <v>0</v>
      </c>
    </row>
    <row r="510" spans="1:12" x14ac:dyDescent="0.35">
      <c r="A510" s="1" t="s">
        <v>66</v>
      </c>
      <c r="B510">
        <v>0.1</v>
      </c>
      <c r="C510">
        <v>0</v>
      </c>
      <c r="D510">
        <v>0</v>
      </c>
      <c r="E510">
        <v>172.62799999999999</v>
      </c>
      <c r="F510">
        <v>0</v>
      </c>
      <c r="G510">
        <v>257.07999000000001</v>
      </c>
      <c r="I510">
        <f t="shared" si="28"/>
        <v>0</v>
      </c>
      <c r="J510">
        <f t="shared" si="29"/>
        <v>0</v>
      </c>
      <c r="K510">
        <f t="shared" si="30"/>
        <v>3454.9501450220296</v>
      </c>
      <c r="L510">
        <f t="shared" si="31"/>
        <v>0</v>
      </c>
    </row>
    <row r="511" spans="1:12" x14ac:dyDescent="0.35">
      <c r="A511" s="1" t="s">
        <v>66</v>
      </c>
      <c r="B511">
        <v>0.1</v>
      </c>
      <c r="C511">
        <v>0</v>
      </c>
      <c r="D511">
        <v>0</v>
      </c>
      <c r="E511">
        <v>172.62799999999999</v>
      </c>
      <c r="F511">
        <v>0</v>
      </c>
      <c r="G511">
        <f>257.07999+0.1</f>
        <v>257.17999000000003</v>
      </c>
      <c r="I511">
        <f t="shared" si="28"/>
        <v>0</v>
      </c>
      <c r="J511">
        <f t="shared" si="29"/>
        <v>0</v>
      </c>
      <c r="K511">
        <f t="shared" si="30"/>
        <v>3454.9501450220296</v>
      </c>
      <c r="L511">
        <f t="shared" si="31"/>
        <v>0</v>
      </c>
    </row>
    <row r="512" spans="1:12" x14ac:dyDescent="0.35">
      <c r="A512" s="1" t="s">
        <v>67</v>
      </c>
      <c r="B512">
        <v>0.21199999999999999</v>
      </c>
      <c r="C512">
        <v>0</v>
      </c>
      <c r="D512">
        <v>2.47240752</v>
      </c>
      <c r="E512">
        <v>0</v>
      </c>
      <c r="F512">
        <v>0</v>
      </c>
      <c r="G512">
        <v>257.46699000000001</v>
      </c>
      <c r="I512">
        <f t="shared" si="28"/>
        <v>0</v>
      </c>
      <c r="J512">
        <f t="shared" si="29"/>
        <v>49.48238246273813</v>
      </c>
      <c r="K512">
        <f t="shared" si="30"/>
        <v>0</v>
      </c>
      <c r="L512">
        <f t="shared" si="31"/>
        <v>0</v>
      </c>
    </row>
    <row r="513" spans="1:12" x14ac:dyDescent="0.35">
      <c r="A513" s="1" t="s">
        <v>68</v>
      </c>
      <c r="B513">
        <v>0.09</v>
      </c>
      <c r="C513">
        <v>0</v>
      </c>
      <c r="D513">
        <v>0</v>
      </c>
      <c r="E513">
        <v>0</v>
      </c>
      <c r="F513">
        <v>-13632</v>
      </c>
      <c r="G513">
        <v>257.61698999999999</v>
      </c>
      <c r="I513">
        <f t="shared" si="28"/>
        <v>0</v>
      </c>
      <c r="J513">
        <f t="shared" si="29"/>
        <v>0</v>
      </c>
      <c r="K513">
        <f t="shared" si="30"/>
        <v>0</v>
      </c>
      <c r="L513">
        <f t="shared" si="31"/>
        <v>-272828.74375501258</v>
      </c>
    </row>
    <row r="514" spans="1:12" x14ac:dyDescent="0.35">
      <c r="A514" s="1" t="s">
        <v>69</v>
      </c>
      <c r="B514">
        <v>0.16600000000000001</v>
      </c>
      <c r="C514">
        <v>0</v>
      </c>
      <c r="D514">
        <v>0</v>
      </c>
      <c r="E514">
        <v>-202.23429300000001</v>
      </c>
      <c r="F514">
        <v>0</v>
      </c>
      <c r="G514">
        <v>258.23383999999999</v>
      </c>
      <c r="I514">
        <f t="shared" si="28"/>
        <v>0</v>
      </c>
      <c r="J514">
        <f t="shared" si="29"/>
        <v>0</v>
      </c>
      <c r="K514">
        <f t="shared" si="30"/>
        <v>-4047.4859230760812</v>
      </c>
      <c r="L514">
        <f t="shared" si="31"/>
        <v>0</v>
      </c>
    </row>
    <row r="515" spans="1:12" x14ac:dyDescent="0.35">
      <c r="A515" s="1" t="s">
        <v>70</v>
      </c>
      <c r="B515">
        <v>0.21199999999999999</v>
      </c>
      <c r="C515">
        <v>0</v>
      </c>
      <c r="D515">
        <v>-2.53358734</v>
      </c>
      <c r="E515">
        <v>0</v>
      </c>
      <c r="F515">
        <v>0</v>
      </c>
      <c r="G515">
        <v>258.52084000000002</v>
      </c>
      <c r="I515">
        <f t="shared" si="28"/>
        <v>0</v>
      </c>
      <c r="J515">
        <f t="shared" si="29"/>
        <v>-50.706825936458621</v>
      </c>
      <c r="K515">
        <f t="shared" si="30"/>
        <v>0</v>
      </c>
      <c r="L515">
        <f t="shared" si="31"/>
        <v>0</v>
      </c>
    </row>
    <row r="516" spans="1:12" x14ac:dyDescent="0.35">
      <c r="A516" s="1" t="s">
        <v>20</v>
      </c>
      <c r="B516">
        <v>0.41782794400000001</v>
      </c>
      <c r="C516">
        <v>2.3392E-3</v>
      </c>
      <c r="D516">
        <v>0</v>
      </c>
      <c r="E516">
        <v>0</v>
      </c>
      <c r="F516">
        <v>0</v>
      </c>
      <c r="G516">
        <v>258.98567000000003</v>
      </c>
      <c r="I516">
        <f t="shared" ref="I516:I579" si="32">$H$2*$C516/$B516</f>
        <v>0.11204704805350077</v>
      </c>
      <c r="J516">
        <f t="shared" ref="J516:J579" si="33">$H$2*$D516</f>
        <v>0</v>
      </c>
      <c r="K516">
        <f t="shared" ref="K516:K579" si="34">$H$2*$E516</f>
        <v>0</v>
      </c>
      <c r="L516">
        <f t="shared" ref="L516:L579" si="35">$H$2*$F516</f>
        <v>0</v>
      </c>
    </row>
    <row r="517" spans="1:12" x14ac:dyDescent="0.35">
      <c r="A517" s="1" t="s">
        <v>21</v>
      </c>
      <c r="B517">
        <v>0.41782808399999999</v>
      </c>
      <c r="C517">
        <v>3.2192000000000002E-3</v>
      </c>
      <c r="D517">
        <v>0</v>
      </c>
      <c r="E517">
        <v>0</v>
      </c>
      <c r="F517">
        <v>0</v>
      </c>
      <c r="G517">
        <v>259.40350000000001</v>
      </c>
      <c r="I517">
        <f t="shared" si="32"/>
        <v>0.15419875865034546</v>
      </c>
      <c r="J517">
        <f t="shared" si="33"/>
        <v>0</v>
      </c>
      <c r="K517">
        <f t="shared" si="34"/>
        <v>0</v>
      </c>
      <c r="L517">
        <f t="shared" si="35"/>
        <v>0</v>
      </c>
    </row>
    <row r="518" spans="1:12" x14ac:dyDescent="0.35">
      <c r="A518" s="1" t="s">
        <v>22</v>
      </c>
      <c r="B518">
        <v>0.41782827500000003</v>
      </c>
      <c r="C518">
        <v>4.1392E-3</v>
      </c>
      <c r="D518">
        <v>0</v>
      </c>
      <c r="E518">
        <v>0</v>
      </c>
      <c r="F518">
        <v>0</v>
      </c>
      <c r="G518">
        <v>259.82132999999999</v>
      </c>
      <c r="I518">
        <f t="shared" si="32"/>
        <v>0.19826640470947862</v>
      </c>
      <c r="J518">
        <f t="shared" si="33"/>
        <v>0</v>
      </c>
      <c r="K518">
        <f t="shared" si="34"/>
        <v>0</v>
      </c>
      <c r="L518">
        <f t="shared" si="35"/>
        <v>0</v>
      </c>
    </row>
    <row r="519" spans="1:12" x14ac:dyDescent="0.35">
      <c r="A519" s="1" t="s">
        <v>23</v>
      </c>
      <c r="B519">
        <v>0.41782864199999997</v>
      </c>
      <c r="C519">
        <v>5.4992000000000001E-3</v>
      </c>
      <c r="D519">
        <v>0</v>
      </c>
      <c r="E519">
        <v>0</v>
      </c>
      <c r="F519">
        <v>0</v>
      </c>
      <c r="G519">
        <v>260.23916000000003</v>
      </c>
      <c r="I519">
        <f t="shared" si="32"/>
        <v>0.26340975432619773</v>
      </c>
      <c r="J519">
        <f t="shared" si="33"/>
        <v>0</v>
      </c>
      <c r="K519">
        <f t="shared" si="34"/>
        <v>0</v>
      </c>
      <c r="L519">
        <f t="shared" si="35"/>
        <v>0</v>
      </c>
    </row>
    <row r="520" spans="1:12" x14ac:dyDescent="0.35">
      <c r="A520" s="1" t="s">
        <v>24</v>
      </c>
      <c r="B520">
        <v>0.41782941899999998</v>
      </c>
      <c r="C520">
        <v>7.6290999999999998E-3</v>
      </c>
      <c r="D520">
        <v>0</v>
      </c>
      <c r="E520">
        <v>0</v>
      </c>
      <c r="F520">
        <v>0</v>
      </c>
      <c r="G520">
        <v>260.65697999999998</v>
      </c>
      <c r="I520">
        <f t="shared" si="32"/>
        <v>0.36543053893202671</v>
      </c>
      <c r="J520">
        <f t="shared" si="33"/>
        <v>0</v>
      </c>
      <c r="K520">
        <f t="shared" si="34"/>
        <v>0</v>
      </c>
      <c r="L520">
        <f t="shared" si="35"/>
        <v>0</v>
      </c>
    </row>
    <row r="521" spans="1:12" x14ac:dyDescent="0.35">
      <c r="A521" s="1" t="s">
        <v>71</v>
      </c>
      <c r="B521">
        <v>0.3745</v>
      </c>
      <c r="C521">
        <v>0</v>
      </c>
      <c r="D521">
        <v>4.5116622</v>
      </c>
      <c r="E521">
        <v>0</v>
      </c>
      <c r="F521">
        <v>0</v>
      </c>
      <c r="G521">
        <v>261.18148000000002</v>
      </c>
      <c r="I521">
        <f t="shared" si="32"/>
        <v>0</v>
      </c>
      <c r="J521">
        <f t="shared" si="33"/>
        <v>90.29571084748946</v>
      </c>
      <c r="K521">
        <f t="shared" si="34"/>
        <v>0</v>
      </c>
      <c r="L521">
        <f t="shared" si="35"/>
        <v>0</v>
      </c>
    </row>
    <row r="522" spans="1:12" x14ac:dyDescent="0.35">
      <c r="A522" s="1" t="s">
        <v>72</v>
      </c>
      <c r="B522">
        <v>1.0280365199999999</v>
      </c>
      <c r="C522">
        <v>2.4767999999999998E-2</v>
      </c>
      <c r="D522">
        <v>-1.929</v>
      </c>
      <c r="E522">
        <v>0</v>
      </c>
      <c r="F522">
        <v>0</v>
      </c>
      <c r="G522">
        <v>262.29951999999997</v>
      </c>
      <c r="I522">
        <f t="shared" si="32"/>
        <v>0.48218416286837618</v>
      </c>
      <c r="J522">
        <f t="shared" si="33"/>
        <v>-38.606708238220314</v>
      </c>
      <c r="K522">
        <f t="shared" si="34"/>
        <v>0</v>
      </c>
      <c r="L522">
        <f t="shared" si="35"/>
        <v>0</v>
      </c>
    </row>
    <row r="523" spans="1:12" x14ac:dyDescent="0.35">
      <c r="A523" s="1" t="s">
        <v>73</v>
      </c>
      <c r="B523">
        <v>0.4975</v>
      </c>
      <c r="C523">
        <v>0</v>
      </c>
      <c r="D523">
        <v>4.61414189</v>
      </c>
      <c r="E523">
        <v>0</v>
      </c>
      <c r="F523">
        <v>0</v>
      </c>
      <c r="G523">
        <v>262.88702000000001</v>
      </c>
      <c r="I523">
        <f t="shared" si="32"/>
        <v>0</v>
      </c>
      <c r="J523">
        <f t="shared" si="33"/>
        <v>92.346723544313335</v>
      </c>
      <c r="K523">
        <f t="shared" si="34"/>
        <v>0</v>
      </c>
      <c r="L523">
        <f t="shared" si="35"/>
        <v>0</v>
      </c>
    </row>
    <row r="524" spans="1:12" x14ac:dyDescent="0.35">
      <c r="A524" s="1" t="s">
        <v>28</v>
      </c>
      <c r="B524">
        <v>0.1</v>
      </c>
      <c r="C524">
        <v>0</v>
      </c>
      <c r="D524">
        <v>0</v>
      </c>
      <c r="E524">
        <v>0</v>
      </c>
      <c r="F524">
        <v>0</v>
      </c>
      <c r="G524">
        <v>263.05808999999999</v>
      </c>
      <c r="I524">
        <f t="shared" si="32"/>
        <v>0</v>
      </c>
      <c r="J524">
        <f t="shared" si="33"/>
        <v>0</v>
      </c>
      <c r="K524">
        <f t="shared" si="34"/>
        <v>0</v>
      </c>
      <c r="L524">
        <f t="shared" si="35"/>
        <v>0</v>
      </c>
    </row>
    <row r="525" spans="1:12" x14ac:dyDescent="0.35">
      <c r="A525" s="1" t="s">
        <v>74</v>
      </c>
      <c r="B525">
        <v>0.40000102700000001</v>
      </c>
      <c r="C525">
        <v>5.2300999999999997E-3</v>
      </c>
      <c r="D525">
        <v>-1.5815999999999999</v>
      </c>
      <c r="E525">
        <v>0</v>
      </c>
      <c r="F525">
        <v>0</v>
      </c>
      <c r="G525">
        <v>263.55108999999999</v>
      </c>
      <c r="I525">
        <f t="shared" si="32"/>
        <v>0.26168536331815889</v>
      </c>
      <c r="J525">
        <f t="shared" si="33"/>
        <v>-31.653898263125576</v>
      </c>
      <c r="K525">
        <f t="shared" si="34"/>
        <v>0</v>
      </c>
      <c r="L525">
        <f t="shared" si="35"/>
        <v>0</v>
      </c>
    </row>
    <row r="526" spans="1:12" x14ac:dyDescent="0.35">
      <c r="A526" s="1" t="s">
        <v>30</v>
      </c>
      <c r="B526">
        <v>2.44294E-2</v>
      </c>
      <c r="C526">
        <v>1.0499000000000001E-3</v>
      </c>
      <c r="D526">
        <v>0</v>
      </c>
      <c r="E526">
        <v>0</v>
      </c>
      <c r="F526">
        <v>0</v>
      </c>
      <c r="G526">
        <v>263.64602000000002</v>
      </c>
      <c r="I526">
        <f t="shared" si="32"/>
        <v>0.8601331402616047</v>
      </c>
      <c r="J526">
        <f t="shared" si="33"/>
        <v>0</v>
      </c>
      <c r="K526">
        <f t="shared" si="34"/>
        <v>0</v>
      </c>
      <c r="L526">
        <f t="shared" si="35"/>
        <v>0</v>
      </c>
    </row>
    <row r="527" spans="1:12" x14ac:dyDescent="0.35">
      <c r="A527" s="1" t="s">
        <v>30</v>
      </c>
      <c r="B527">
        <v>2.44294E-2</v>
      </c>
      <c r="C527">
        <v>1.0499000000000001E-3</v>
      </c>
      <c r="D527">
        <v>0</v>
      </c>
      <c r="E527">
        <v>0</v>
      </c>
      <c r="F527">
        <v>0</v>
      </c>
      <c r="G527">
        <f>263.64602+0.0244294</f>
        <v>263.6704494</v>
      </c>
      <c r="I527">
        <f t="shared" si="32"/>
        <v>0.8601331402616047</v>
      </c>
      <c r="J527">
        <f t="shared" si="33"/>
        <v>0</v>
      </c>
      <c r="K527">
        <f t="shared" si="34"/>
        <v>0</v>
      </c>
      <c r="L527">
        <f t="shared" si="35"/>
        <v>0</v>
      </c>
    </row>
    <row r="528" spans="1:12" x14ac:dyDescent="0.35">
      <c r="A528" s="1" t="s">
        <v>75</v>
      </c>
      <c r="B528">
        <v>0.40000102700000001</v>
      </c>
      <c r="C528">
        <v>5.2300999999999997E-3</v>
      </c>
      <c r="D528">
        <v>-1.5815999999999999</v>
      </c>
      <c r="E528">
        <v>0</v>
      </c>
      <c r="F528">
        <v>0</v>
      </c>
      <c r="G528">
        <v>264.14094999999998</v>
      </c>
      <c r="I528">
        <f t="shared" si="32"/>
        <v>0.26168536331815889</v>
      </c>
      <c r="J528">
        <f t="shared" si="33"/>
        <v>-31.653898263125576</v>
      </c>
      <c r="K528">
        <f t="shared" si="34"/>
        <v>0</v>
      </c>
      <c r="L528">
        <f t="shared" si="35"/>
        <v>0</v>
      </c>
    </row>
    <row r="529" spans="1:12" x14ac:dyDescent="0.35">
      <c r="A529" s="1" t="s">
        <v>76</v>
      </c>
      <c r="B529">
        <v>0.4975</v>
      </c>
      <c r="C529">
        <v>0</v>
      </c>
      <c r="D529">
        <v>4.61414189</v>
      </c>
      <c r="E529">
        <v>0</v>
      </c>
      <c r="F529">
        <v>0</v>
      </c>
      <c r="G529">
        <v>264.90251999999998</v>
      </c>
      <c r="I529">
        <f t="shared" si="32"/>
        <v>0</v>
      </c>
      <c r="J529">
        <f t="shared" si="33"/>
        <v>92.346723544313335</v>
      </c>
      <c r="K529">
        <f t="shared" si="34"/>
        <v>0</v>
      </c>
      <c r="L529">
        <f t="shared" si="35"/>
        <v>0</v>
      </c>
    </row>
    <row r="530" spans="1:12" x14ac:dyDescent="0.35">
      <c r="A530" s="1" t="s">
        <v>77</v>
      </c>
      <c r="B530">
        <v>1.0280365199999999</v>
      </c>
      <c r="C530">
        <v>2.4767999999999998E-2</v>
      </c>
      <c r="D530">
        <v>-1.929</v>
      </c>
      <c r="E530">
        <v>0</v>
      </c>
      <c r="F530">
        <v>0</v>
      </c>
      <c r="G530">
        <v>266.02055999999999</v>
      </c>
      <c r="I530">
        <f t="shared" si="32"/>
        <v>0.48218416286837618</v>
      </c>
      <c r="J530">
        <f t="shared" si="33"/>
        <v>-38.606708238220314</v>
      </c>
      <c r="K530">
        <f t="shared" si="34"/>
        <v>0</v>
      </c>
      <c r="L530">
        <f t="shared" si="35"/>
        <v>0</v>
      </c>
    </row>
    <row r="531" spans="1:12" x14ac:dyDescent="0.35">
      <c r="A531" s="1" t="s">
        <v>78</v>
      </c>
      <c r="B531">
        <v>0.3745</v>
      </c>
      <c r="C531">
        <v>0</v>
      </c>
      <c r="D531">
        <v>4.5116622</v>
      </c>
      <c r="E531">
        <v>0</v>
      </c>
      <c r="F531">
        <v>0</v>
      </c>
      <c r="G531">
        <v>266.48505999999998</v>
      </c>
      <c r="I531">
        <f t="shared" si="32"/>
        <v>0</v>
      </c>
      <c r="J531">
        <f t="shared" si="33"/>
        <v>90.29571084748946</v>
      </c>
      <c r="K531">
        <f t="shared" si="34"/>
        <v>0</v>
      </c>
      <c r="L531">
        <f t="shared" si="35"/>
        <v>0</v>
      </c>
    </row>
    <row r="532" spans="1:12" x14ac:dyDescent="0.35">
      <c r="A532" s="1" t="s">
        <v>35</v>
      </c>
      <c r="B532">
        <v>0.41782941899999998</v>
      </c>
      <c r="C532">
        <v>7.6290999999999998E-3</v>
      </c>
      <c r="D532">
        <v>0</v>
      </c>
      <c r="E532">
        <v>0</v>
      </c>
      <c r="F532">
        <v>0</v>
      </c>
      <c r="G532">
        <v>267.05288999999999</v>
      </c>
      <c r="I532">
        <f t="shared" si="32"/>
        <v>0.36543053893202671</v>
      </c>
      <c r="J532">
        <f t="shared" si="33"/>
        <v>0</v>
      </c>
      <c r="K532">
        <f t="shared" si="34"/>
        <v>0</v>
      </c>
      <c r="L532">
        <f t="shared" si="35"/>
        <v>0</v>
      </c>
    </row>
    <row r="533" spans="1:12" x14ac:dyDescent="0.35">
      <c r="A533" s="1" t="s">
        <v>36</v>
      </c>
      <c r="B533">
        <v>0.41782864199999997</v>
      </c>
      <c r="C533">
        <v>5.4992000000000001E-3</v>
      </c>
      <c r="D533">
        <v>0</v>
      </c>
      <c r="E533">
        <v>0</v>
      </c>
      <c r="F533">
        <v>0</v>
      </c>
      <c r="G533">
        <v>267.47071999999997</v>
      </c>
      <c r="I533">
        <f t="shared" si="32"/>
        <v>0.26340975432619773</v>
      </c>
      <c r="J533">
        <f t="shared" si="33"/>
        <v>0</v>
      </c>
      <c r="K533">
        <f t="shared" si="34"/>
        <v>0</v>
      </c>
      <c r="L533">
        <f t="shared" si="35"/>
        <v>0</v>
      </c>
    </row>
    <row r="534" spans="1:12" x14ac:dyDescent="0.35">
      <c r="A534" s="1" t="s">
        <v>37</v>
      </c>
      <c r="B534">
        <v>0.41782827500000003</v>
      </c>
      <c r="C534">
        <v>4.1392E-3</v>
      </c>
      <c r="D534">
        <v>0</v>
      </c>
      <c r="E534">
        <v>0</v>
      </c>
      <c r="F534">
        <v>0</v>
      </c>
      <c r="G534">
        <v>267.88855000000001</v>
      </c>
      <c r="I534">
        <f t="shared" si="32"/>
        <v>0.19826640470947862</v>
      </c>
      <c r="J534">
        <f t="shared" si="33"/>
        <v>0</v>
      </c>
      <c r="K534">
        <f t="shared" si="34"/>
        <v>0</v>
      </c>
      <c r="L534">
        <f t="shared" si="35"/>
        <v>0</v>
      </c>
    </row>
    <row r="535" spans="1:12" x14ac:dyDescent="0.35">
      <c r="A535" s="1" t="s">
        <v>38</v>
      </c>
      <c r="B535">
        <v>0.41782808399999999</v>
      </c>
      <c r="C535">
        <v>3.2192000000000002E-3</v>
      </c>
      <c r="D535">
        <v>0</v>
      </c>
      <c r="E535">
        <v>0</v>
      </c>
      <c r="F535">
        <v>0</v>
      </c>
      <c r="G535">
        <v>268.30637000000002</v>
      </c>
      <c r="I535">
        <f t="shared" si="32"/>
        <v>0.15419875865034546</v>
      </c>
      <c r="J535">
        <f t="shared" si="33"/>
        <v>0</v>
      </c>
      <c r="K535">
        <f t="shared" si="34"/>
        <v>0</v>
      </c>
      <c r="L535">
        <f t="shared" si="35"/>
        <v>0</v>
      </c>
    </row>
    <row r="536" spans="1:12" x14ac:dyDescent="0.35">
      <c r="A536" s="1" t="s">
        <v>39</v>
      </c>
      <c r="B536">
        <v>0.41782794400000001</v>
      </c>
      <c r="C536">
        <v>2.3392E-3</v>
      </c>
      <c r="D536">
        <v>0</v>
      </c>
      <c r="E536">
        <v>0</v>
      </c>
      <c r="F536">
        <v>0</v>
      </c>
      <c r="G536">
        <v>268.7242</v>
      </c>
      <c r="I536">
        <f t="shared" si="32"/>
        <v>0.11204704805350077</v>
      </c>
      <c r="J536">
        <f t="shared" si="33"/>
        <v>0</v>
      </c>
      <c r="K536">
        <f t="shared" si="34"/>
        <v>0</v>
      </c>
      <c r="L536">
        <f t="shared" si="35"/>
        <v>0</v>
      </c>
    </row>
    <row r="537" spans="1:12" x14ac:dyDescent="0.35">
      <c r="A537" s="1" t="s">
        <v>79</v>
      </c>
      <c r="B537">
        <v>0.21199999999999999</v>
      </c>
      <c r="C537">
        <v>0</v>
      </c>
      <c r="D537">
        <v>-2.53358734</v>
      </c>
      <c r="E537">
        <v>0</v>
      </c>
      <c r="F537">
        <v>0</v>
      </c>
      <c r="G537">
        <v>268.98320000000001</v>
      </c>
      <c r="I537">
        <f t="shared" si="32"/>
        <v>0</v>
      </c>
      <c r="J537">
        <f t="shared" si="33"/>
        <v>-50.706825936458621</v>
      </c>
      <c r="K537">
        <f t="shared" si="34"/>
        <v>0</v>
      </c>
      <c r="L537">
        <f t="shared" si="35"/>
        <v>0</v>
      </c>
    </row>
    <row r="538" spans="1:12" x14ac:dyDescent="0.35">
      <c r="A538" s="1" t="s">
        <v>80</v>
      </c>
      <c r="B538">
        <v>0.16600000000000001</v>
      </c>
      <c r="C538">
        <v>0</v>
      </c>
      <c r="D538">
        <v>0</v>
      </c>
      <c r="E538">
        <v>-202.23429300000001</v>
      </c>
      <c r="F538">
        <v>0</v>
      </c>
      <c r="G538">
        <v>269.2242</v>
      </c>
      <c r="I538">
        <f t="shared" si="32"/>
        <v>0</v>
      </c>
      <c r="J538">
        <f t="shared" si="33"/>
        <v>0</v>
      </c>
      <c r="K538">
        <f t="shared" si="34"/>
        <v>-4047.4859230760812</v>
      </c>
      <c r="L538">
        <f t="shared" si="35"/>
        <v>0</v>
      </c>
    </row>
    <row r="539" spans="1:12" x14ac:dyDescent="0.35">
      <c r="A539" s="1" t="s">
        <v>81</v>
      </c>
      <c r="B539">
        <v>0.09</v>
      </c>
      <c r="C539">
        <v>0</v>
      </c>
      <c r="D539">
        <v>0</v>
      </c>
      <c r="E539">
        <v>0</v>
      </c>
      <c r="F539">
        <v>-13632</v>
      </c>
      <c r="G539">
        <v>269.76506000000001</v>
      </c>
      <c r="I539">
        <f t="shared" si="32"/>
        <v>0</v>
      </c>
      <c r="J539">
        <f t="shared" si="33"/>
        <v>0</v>
      </c>
      <c r="K539">
        <f t="shared" si="34"/>
        <v>0</v>
      </c>
      <c r="L539">
        <f t="shared" si="35"/>
        <v>-272828.74375501258</v>
      </c>
    </row>
    <row r="540" spans="1:12" x14ac:dyDescent="0.35">
      <c r="A540" s="1" t="s">
        <v>82</v>
      </c>
      <c r="B540">
        <v>0.21199999999999999</v>
      </c>
      <c r="C540">
        <v>0</v>
      </c>
      <c r="D540">
        <v>2.47240752</v>
      </c>
      <c r="E540">
        <v>0</v>
      </c>
      <c r="F540">
        <v>0</v>
      </c>
      <c r="G540">
        <v>270.03706</v>
      </c>
      <c r="I540">
        <f t="shared" si="32"/>
        <v>0</v>
      </c>
      <c r="J540">
        <f t="shared" si="33"/>
        <v>49.48238246273813</v>
      </c>
      <c r="K540">
        <f t="shared" si="34"/>
        <v>0</v>
      </c>
      <c r="L540">
        <f t="shared" si="35"/>
        <v>0</v>
      </c>
    </row>
    <row r="541" spans="1:12" x14ac:dyDescent="0.35">
      <c r="A541" s="1" t="s">
        <v>83</v>
      </c>
      <c r="B541">
        <v>0.1</v>
      </c>
      <c r="C541">
        <v>0</v>
      </c>
      <c r="D541">
        <v>0</v>
      </c>
      <c r="E541">
        <v>172.62799999999999</v>
      </c>
      <c r="F541">
        <v>0</v>
      </c>
      <c r="G541">
        <v>270.21206000000001</v>
      </c>
      <c r="I541">
        <f t="shared" si="32"/>
        <v>0</v>
      </c>
      <c r="J541">
        <f t="shared" si="33"/>
        <v>0</v>
      </c>
      <c r="K541">
        <f t="shared" si="34"/>
        <v>3454.9501450220296</v>
      </c>
      <c r="L541">
        <f t="shared" si="35"/>
        <v>0</v>
      </c>
    </row>
    <row r="542" spans="1:12" x14ac:dyDescent="0.35">
      <c r="A542" s="1" t="s">
        <v>83</v>
      </c>
      <c r="B542">
        <v>0.1</v>
      </c>
      <c r="C542">
        <v>0</v>
      </c>
      <c r="D542">
        <v>0</v>
      </c>
      <c r="E542">
        <v>172.62799999999999</v>
      </c>
      <c r="F542">
        <v>0</v>
      </c>
      <c r="G542">
        <f>0.1+270.21206</f>
        <v>270.31206000000003</v>
      </c>
      <c r="I542">
        <f t="shared" si="32"/>
        <v>0</v>
      </c>
      <c r="J542">
        <f t="shared" si="33"/>
        <v>0</v>
      </c>
      <c r="K542">
        <f t="shared" si="34"/>
        <v>3454.9501450220296</v>
      </c>
      <c r="L542">
        <f t="shared" si="35"/>
        <v>0</v>
      </c>
    </row>
    <row r="543" spans="1:12" x14ac:dyDescent="0.35">
      <c r="A543" s="1" t="s">
        <v>84</v>
      </c>
      <c r="B543">
        <v>0.21199999999999999</v>
      </c>
      <c r="C543">
        <v>0</v>
      </c>
      <c r="D543">
        <v>2.47240752</v>
      </c>
      <c r="E543">
        <v>0</v>
      </c>
      <c r="F543">
        <v>0</v>
      </c>
      <c r="G543">
        <v>270.59906000000001</v>
      </c>
      <c r="I543">
        <f t="shared" si="32"/>
        <v>0</v>
      </c>
      <c r="J543">
        <f t="shared" si="33"/>
        <v>49.48238246273813</v>
      </c>
      <c r="K543">
        <f t="shared" si="34"/>
        <v>0</v>
      </c>
      <c r="L543">
        <f t="shared" si="35"/>
        <v>0</v>
      </c>
    </row>
    <row r="544" spans="1:12" x14ac:dyDescent="0.35">
      <c r="A544" s="1" t="s">
        <v>85</v>
      </c>
      <c r="B544">
        <v>0.16600000000000001</v>
      </c>
      <c r="C544">
        <v>0</v>
      </c>
      <c r="D544">
        <v>0</v>
      </c>
      <c r="E544">
        <v>-132.861086</v>
      </c>
      <c r="F544">
        <v>0</v>
      </c>
      <c r="G544">
        <v>271.36590999999999</v>
      </c>
      <c r="I544">
        <f t="shared" si="32"/>
        <v>0</v>
      </c>
      <c r="J544">
        <f t="shared" si="33"/>
        <v>0</v>
      </c>
      <c r="K544">
        <f t="shared" si="34"/>
        <v>-2659.0612666744933</v>
      </c>
      <c r="L544">
        <f t="shared" si="35"/>
        <v>0</v>
      </c>
    </row>
    <row r="545" spans="1:12" x14ac:dyDescent="0.35">
      <c r="A545" s="1" t="s">
        <v>86</v>
      </c>
      <c r="B545">
        <v>0.21199999999999999</v>
      </c>
      <c r="C545">
        <v>0</v>
      </c>
      <c r="D545">
        <v>-2.3709669899999999</v>
      </c>
      <c r="E545">
        <v>0</v>
      </c>
      <c r="F545">
        <v>0</v>
      </c>
      <c r="G545">
        <v>271.65291000000002</v>
      </c>
      <c r="I545">
        <f t="shared" si="32"/>
        <v>0</v>
      </c>
      <c r="J545">
        <f t="shared" si="33"/>
        <v>-47.452167353748784</v>
      </c>
      <c r="K545">
        <f t="shared" si="34"/>
        <v>0</v>
      </c>
      <c r="L545">
        <f t="shared" si="35"/>
        <v>0</v>
      </c>
    </row>
    <row r="546" spans="1:12" x14ac:dyDescent="0.35">
      <c r="A546" s="1" t="s">
        <v>48</v>
      </c>
      <c r="B546">
        <v>0.41782794400000001</v>
      </c>
      <c r="C546">
        <v>2.3392E-3</v>
      </c>
      <c r="D546">
        <v>0</v>
      </c>
      <c r="E546">
        <v>0</v>
      </c>
      <c r="F546">
        <v>0</v>
      </c>
      <c r="G546">
        <v>272.11774000000003</v>
      </c>
      <c r="I546">
        <f t="shared" si="32"/>
        <v>0.11204704805350077</v>
      </c>
      <c r="J546">
        <f t="shared" si="33"/>
        <v>0</v>
      </c>
      <c r="K546">
        <f t="shared" si="34"/>
        <v>0</v>
      </c>
      <c r="L546">
        <f t="shared" si="35"/>
        <v>0</v>
      </c>
    </row>
    <row r="547" spans="1:12" x14ac:dyDescent="0.35">
      <c r="A547" s="1" t="s">
        <v>49</v>
      </c>
      <c r="B547">
        <v>0.41782808399999999</v>
      </c>
      <c r="C547">
        <v>3.2192000000000002E-3</v>
      </c>
      <c r="D547">
        <v>0</v>
      </c>
      <c r="E547">
        <v>0</v>
      </c>
      <c r="F547">
        <v>0</v>
      </c>
      <c r="G547">
        <v>272.53557000000001</v>
      </c>
      <c r="I547">
        <f t="shared" si="32"/>
        <v>0.15419875865034546</v>
      </c>
      <c r="J547">
        <f t="shared" si="33"/>
        <v>0</v>
      </c>
      <c r="K547">
        <f t="shared" si="34"/>
        <v>0</v>
      </c>
      <c r="L547">
        <f t="shared" si="35"/>
        <v>0</v>
      </c>
    </row>
    <row r="548" spans="1:12" x14ac:dyDescent="0.35">
      <c r="A548" s="1" t="s">
        <v>50</v>
      </c>
      <c r="B548">
        <v>0.41782827500000003</v>
      </c>
      <c r="C548">
        <v>4.1392E-3</v>
      </c>
      <c r="D548">
        <v>0</v>
      </c>
      <c r="E548">
        <v>0</v>
      </c>
      <c r="F548">
        <v>0</v>
      </c>
      <c r="G548">
        <v>272.95339000000001</v>
      </c>
      <c r="I548">
        <f t="shared" si="32"/>
        <v>0.19826640470947862</v>
      </c>
      <c r="J548">
        <f t="shared" si="33"/>
        <v>0</v>
      </c>
      <c r="K548">
        <f t="shared" si="34"/>
        <v>0</v>
      </c>
      <c r="L548">
        <f t="shared" si="35"/>
        <v>0</v>
      </c>
    </row>
    <row r="549" spans="1:12" x14ac:dyDescent="0.35">
      <c r="A549" s="1" t="s">
        <v>51</v>
      </c>
      <c r="B549">
        <v>0.41782864199999997</v>
      </c>
      <c r="C549">
        <v>5.4992000000000001E-3</v>
      </c>
      <c r="D549">
        <v>0</v>
      </c>
      <c r="E549">
        <v>0</v>
      </c>
      <c r="F549">
        <v>0</v>
      </c>
      <c r="G549">
        <v>273.37121999999999</v>
      </c>
      <c r="I549">
        <f t="shared" si="32"/>
        <v>0.26340975432619773</v>
      </c>
      <c r="J549">
        <f t="shared" si="33"/>
        <v>0</v>
      </c>
      <c r="K549">
        <f t="shared" si="34"/>
        <v>0</v>
      </c>
      <c r="L549">
        <f t="shared" si="35"/>
        <v>0</v>
      </c>
    </row>
    <row r="550" spans="1:12" x14ac:dyDescent="0.35">
      <c r="A550" s="1" t="s">
        <v>52</v>
      </c>
      <c r="B550">
        <v>0.41783028900000002</v>
      </c>
      <c r="C550">
        <v>9.4690999999999994E-3</v>
      </c>
      <c r="D550">
        <v>0</v>
      </c>
      <c r="E550">
        <v>0</v>
      </c>
      <c r="F550">
        <v>0</v>
      </c>
      <c r="G550">
        <v>273.78904999999997</v>
      </c>
      <c r="I550">
        <f t="shared" si="32"/>
        <v>0.45356478630764774</v>
      </c>
      <c r="J550">
        <f t="shared" si="33"/>
        <v>0</v>
      </c>
      <c r="K550">
        <f t="shared" si="34"/>
        <v>0</v>
      </c>
      <c r="L550">
        <f t="shared" si="35"/>
        <v>0</v>
      </c>
    </row>
    <row r="551" spans="1:12" x14ac:dyDescent="0.35">
      <c r="A551" s="1" t="s">
        <v>87</v>
      </c>
      <c r="B551">
        <v>0.16200000000000001</v>
      </c>
      <c r="C551">
        <v>0</v>
      </c>
      <c r="D551">
        <v>-2.8698264299999998</v>
      </c>
      <c r="E551">
        <v>0</v>
      </c>
      <c r="F551">
        <v>0</v>
      </c>
      <c r="G551">
        <v>273.99804999999998</v>
      </c>
      <c r="I551">
        <f t="shared" si="32"/>
        <v>0</v>
      </c>
      <c r="J551">
        <f t="shared" si="33"/>
        <v>-57.436263181619168</v>
      </c>
      <c r="K551">
        <f t="shared" si="34"/>
        <v>0</v>
      </c>
      <c r="L551">
        <f t="shared" si="35"/>
        <v>0</v>
      </c>
    </row>
    <row r="552" spans="1:12" x14ac:dyDescent="0.35">
      <c r="A552" s="1" t="s">
        <v>54</v>
      </c>
      <c r="B552">
        <v>0.1</v>
      </c>
      <c r="C552">
        <v>0</v>
      </c>
      <c r="D552">
        <v>0</v>
      </c>
      <c r="E552">
        <v>0</v>
      </c>
      <c r="F552">
        <v>0</v>
      </c>
      <c r="G552">
        <v>274.32805000000002</v>
      </c>
      <c r="I552">
        <f t="shared" si="32"/>
        <v>0</v>
      </c>
      <c r="J552">
        <f t="shared" si="33"/>
        <v>0</v>
      </c>
      <c r="K552">
        <f t="shared" si="34"/>
        <v>0</v>
      </c>
      <c r="L552">
        <f t="shared" si="35"/>
        <v>0</v>
      </c>
    </row>
    <row r="553" spans="1:12" x14ac:dyDescent="0.35">
      <c r="A553" s="1" t="s">
        <v>88</v>
      </c>
      <c r="B553">
        <v>0.29499999999999998</v>
      </c>
      <c r="C553">
        <v>0</v>
      </c>
      <c r="D553">
        <v>2.43875777</v>
      </c>
      <c r="E553">
        <v>0</v>
      </c>
      <c r="F553">
        <v>0</v>
      </c>
      <c r="G553">
        <v>274.73304999999999</v>
      </c>
      <c r="I553">
        <f t="shared" si="32"/>
        <v>0</v>
      </c>
      <c r="J553">
        <f t="shared" si="33"/>
        <v>48.808921560436907</v>
      </c>
      <c r="K553">
        <f t="shared" si="34"/>
        <v>0</v>
      </c>
      <c r="L553">
        <f t="shared" si="35"/>
        <v>0</v>
      </c>
    </row>
    <row r="554" spans="1:12" x14ac:dyDescent="0.35">
      <c r="A554" s="1" t="s">
        <v>56</v>
      </c>
      <c r="B554">
        <v>0.29499999999999998</v>
      </c>
      <c r="C554">
        <v>0</v>
      </c>
      <c r="D554">
        <v>2.43875777</v>
      </c>
      <c r="E554">
        <v>0</v>
      </c>
      <c r="F554">
        <v>0</v>
      </c>
      <c r="G554">
        <v>280.60620999999998</v>
      </c>
      <c r="I554">
        <f t="shared" si="32"/>
        <v>0</v>
      </c>
      <c r="J554">
        <f t="shared" si="33"/>
        <v>48.808921560436907</v>
      </c>
      <c r="K554">
        <f t="shared" si="34"/>
        <v>0</v>
      </c>
      <c r="L554">
        <f t="shared" si="35"/>
        <v>0</v>
      </c>
    </row>
    <row r="555" spans="1:12" x14ac:dyDescent="0.35">
      <c r="A555" s="1" t="s">
        <v>2</v>
      </c>
      <c r="B555">
        <v>0.1</v>
      </c>
      <c r="C555">
        <v>0</v>
      </c>
      <c r="D555">
        <v>0</v>
      </c>
      <c r="E555">
        <v>0</v>
      </c>
      <c r="F555">
        <v>0</v>
      </c>
      <c r="G555">
        <v>280.81621000000001</v>
      </c>
      <c r="I555">
        <f t="shared" si="32"/>
        <v>0</v>
      </c>
      <c r="J555">
        <f t="shared" si="33"/>
        <v>0</v>
      </c>
      <c r="K555">
        <f t="shared" si="34"/>
        <v>0</v>
      </c>
      <c r="L555">
        <f t="shared" si="35"/>
        <v>0</v>
      </c>
    </row>
    <row r="556" spans="1:12" x14ac:dyDescent="0.35">
      <c r="A556" s="1" t="s">
        <v>57</v>
      </c>
      <c r="B556">
        <v>0.16200000000000001</v>
      </c>
      <c r="C556">
        <v>0</v>
      </c>
      <c r="D556">
        <v>-2.8698264299999998</v>
      </c>
      <c r="E556">
        <v>0</v>
      </c>
      <c r="F556">
        <v>0</v>
      </c>
      <c r="G556">
        <v>281.20821000000001</v>
      </c>
      <c r="I556">
        <f t="shared" si="32"/>
        <v>0</v>
      </c>
      <c r="J556">
        <f t="shared" si="33"/>
        <v>-57.436263181619168</v>
      </c>
      <c r="K556">
        <f t="shared" si="34"/>
        <v>0</v>
      </c>
      <c r="L556">
        <f t="shared" si="35"/>
        <v>0</v>
      </c>
    </row>
    <row r="557" spans="1:12" x14ac:dyDescent="0.35">
      <c r="A557" s="1" t="s">
        <v>58</v>
      </c>
      <c r="B557">
        <v>0.41783028900000002</v>
      </c>
      <c r="C557">
        <v>9.4690999999999994E-3</v>
      </c>
      <c r="D557">
        <v>0</v>
      </c>
      <c r="E557">
        <v>0</v>
      </c>
      <c r="F557">
        <v>0</v>
      </c>
      <c r="G557">
        <v>281.67304000000001</v>
      </c>
      <c r="I557">
        <f t="shared" si="32"/>
        <v>0.45356478630764774</v>
      </c>
      <c r="J557">
        <f t="shared" si="33"/>
        <v>0</v>
      </c>
      <c r="K557">
        <f t="shared" si="34"/>
        <v>0</v>
      </c>
      <c r="L557">
        <f t="shared" si="35"/>
        <v>0</v>
      </c>
    </row>
    <row r="558" spans="1:12" x14ac:dyDescent="0.35">
      <c r="A558" s="1" t="s">
        <v>59</v>
      </c>
      <c r="B558">
        <v>0.41782864199999997</v>
      </c>
      <c r="C558">
        <v>5.4992000000000001E-3</v>
      </c>
      <c r="D558">
        <v>0</v>
      </c>
      <c r="E558">
        <v>0</v>
      </c>
      <c r="F558">
        <v>0</v>
      </c>
      <c r="G558">
        <v>282.09086000000002</v>
      </c>
      <c r="I558">
        <f t="shared" si="32"/>
        <v>0.26340975432619773</v>
      </c>
      <c r="J558">
        <f t="shared" si="33"/>
        <v>0</v>
      </c>
      <c r="K558">
        <f t="shared" si="34"/>
        <v>0</v>
      </c>
      <c r="L558">
        <f t="shared" si="35"/>
        <v>0</v>
      </c>
    </row>
    <row r="559" spans="1:12" x14ac:dyDescent="0.35">
      <c r="A559" s="1" t="s">
        <v>60</v>
      </c>
      <c r="B559">
        <v>0.41782827500000003</v>
      </c>
      <c r="C559">
        <v>4.1392E-3</v>
      </c>
      <c r="D559">
        <v>0</v>
      </c>
      <c r="E559">
        <v>0</v>
      </c>
      <c r="F559">
        <v>0</v>
      </c>
      <c r="G559">
        <v>282.50869</v>
      </c>
      <c r="I559">
        <f t="shared" si="32"/>
        <v>0.19826640470947862</v>
      </c>
      <c r="J559">
        <f t="shared" si="33"/>
        <v>0</v>
      </c>
      <c r="K559">
        <f t="shared" si="34"/>
        <v>0</v>
      </c>
      <c r="L559">
        <f t="shared" si="35"/>
        <v>0</v>
      </c>
    </row>
    <row r="560" spans="1:12" x14ac:dyDescent="0.35">
      <c r="A560" s="1" t="s">
        <v>61</v>
      </c>
      <c r="B560">
        <v>0.41782808399999999</v>
      </c>
      <c r="C560">
        <v>3.2192000000000002E-3</v>
      </c>
      <c r="D560">
        <v>0</v>
      </c>
      <c r="E560">
        <v>0</v>
      </c>
      <c r="F560">
        <v>0</v>
      </c>
      <c r="G560">
        <v>282.92651999999998</v>
      </c>
      <c r="I560">
        <f t="shared" si="32"/>
        <v>0.15419875865034546</v>
      </c>
      <c r="J560">
        <f t="shared" si="33"/>
        <v>0</v>
      </c>
      <c r="K560">
        <f t="shared" si="34"/>
        <v>0</v>
      </c>
      <c r="L560">
        <f t="shared" si="35"/>
        <v>0</v>
      </c>
    </row>
    <row r="561" spans="1:12" x14ac:dyDescent="0.35">
      <c r="A561" s="1" t="s">
        <v>62</v>
      </c>
      <c r="B561">
        <v>0.41782794400000001</v>
      </c>
      <c r="C561">
        <v>2.3392E-3</v>
      </c>
      <c r="D561">
        <v>0</v>
      </c>
      <c r="E561">
        <v>0</v>
      </c>
      <c r="F561">
        <v>0</v>
      </c>
      <c r="G561">
        <v>283.34435000000002</v>
      </c>
      <c r="I561">
        <f t="shared" si="32"/>
        <v>0.11204704805350077</v>
      </c>
      <c r="J561">
        <f t="shared" si="33"/>
        <v>0</v>
      </c>
      <c r="K561">
        <f t="shared" si="34"/>
        <v>0</v>
      </c>
      <c r="L561">
        <f t="shared" si="35"/>
        <v>0</v>
      </c>
    </row>
    <row r="562" spans="1:12" x14ac:dyDescent="0.35">
      <c r="A562" s="1" t="s">
        <v>63</v>
      </c>
      <c r="B562">
        <v>0.21199999999999999</v>
      </c>
      <c r="C562">
        <v>0</v>
      </c>
      <c r="D562">
        <v>-2.3709669899999999</v>
      </c>
      <c r="E562">
        <v>0</v>
      </c>
      <c r="F562">
        <v>0</v>
      </c>
      <c r="G562">
        <v>283.60334999999998</v>
      </c>
      <c r="I562">
        <f t="shared" si="32"/>
        <v>0</v>
      </c>
      <c r="J562">
        <f t="shared" si="33"/>
        <v>-47.452167353748784</v>
      </c>
      <c r="K562">
        <f t="shared" si="34"/>
        <v>0</v>
      </c>
      <c r="L562">
        <f t="shared" si="35"/>
        <v>0</v>
      </c>
    </row>
    <row r="563" spans="1:12" x14ac:dyDescent="0.35">
      <c r="A563" s="1" t="s">
        <v>64</v>
      </c>
      <c r="B563">
        <v>0.16600000000000001</v>
      </c>
      <c r="C563">
        <v>0</v>
      </c>
      <c r="D563">
        <v>0</v>
      </c>
      <c r="E563">
        <v>-132.861086</v>
      </c>
      <c r="F563">
        <v>0</v>
      </c>
      <c r="G563">
        <v>283.84435000000002</v>
      </c>
      <c r="I563">
        <f t="shared" si="32"/>
        <v>0</v>
      </c>
      <c r="J563">
        <f t="shared" si="33"/>
        <v>0</v>
      </c>
      <c r="K563">
        <f t="shared" si="34"/>
        <v>-2659.0612666744933</v>
      </c>
      <c r="L563">
        <f t="shared" si="35"/>
        <v>0</v>
      </c>
    </row>
    <row r="564" spans="1:12" x14ac:dyDescent="0.35">
      <c r="A564" s="1" t="s">
        <v>65</v>
      </c>
      <c r="B564">
        <v>0.21199999999999999</v>
      </c>
      <c r="C564">
        <v>0</v>
      </c>
      <c r="D564">
        <v>2.47240752</v>
      </c>
      <c r="E564">
        <v>0</v>
      </c>
      <c r="F564">
        <v>0</v>
      </c>
      <c r="G564">
        <v>284.65719999999999</v>
      </c>
      <c r="I564">
        <f t="shared" si="32"/>
        <v>0</v>
      </c>
      <c r="J564">
        <f t="shared" si="33"/>
        <v>49.48238246273813</v>
      </c>
      <c r="K564">
        <f t="shared" si="34"/>
        <v>0</v>
      </c>
      <c r="L564">
        <f t="shared" si="35"/>
        <v>0</v>
      </c>
    </row>
    <row r="565" spans="1:12" x14ac:dyDescent="0.35">
      <c r="A565" s="1" t="s">
        <v>66</v>
      </c>
      <c r="B565">
        <v>0.1</v>
      </c>
      <c r="C565">
        <v>0</v>
      </c>
      <c r="D565">
        <v>0</v>
      </c>
      <c r="E565">
        <v>172.62799999999999</v>
      </c>
      <c r="F565">
        <v>0</v>
      </c>
      <c r="G565">
        <v>284.8322</v>
      </c>
      <c r="I565">
        <f t="shared" si="32"/>
        <v>0</v>
      </c>
      <c r="J565">
        <f t="shared" si="33"/>
        <v>0</v>
      </c>
      <c r="K565">
        <f t="shared" si="34"/>
        <v>3454.9501450220296</v>
      </c>
      <c r="L565">
        <f t="shared" si="35"/>
        <v>0</v>
      </c>
    </row>
    <row r="566" spans="1:12" x14ac:dyDescent="0.35">
      <c r="A566" s="1" t="s">
        <v>66</v>
      </c>
      <c r="B566">
        <v>0.1</v>
      </c>
      <c r="C566">
        <v>0</v>
      </c>
      <c r="D566">
        <v>0</v>
      </c>
      <c r="E566">
        <v>172.62799999999999</v>
      </c>
      <c r="F566">
        <v>0</v>
      </c>
      <c r="G566">
        <f>284.8322+0.1</f>
        <v>284.93220000000002</v>
      </c>
      <c r="I566">
        <f t="shared" si="32"/>
        <v>0</v>
      </c>
      <c r="J566">
        <f t="shared" si="33"/>
        <v>0</v>
      </c>
      <c r="K566">
        <f t="shared" si="34"/>
        <v>3454.9501450220296</v>
      </c>
      <c r="L566">
        <f t="shared" si="35"/>
        <v>0</v>
      </c>
    </row>
    <row r="567" spans="1:12" x14ac:dyDescent="0.35">
      <c r="A567" s="1" t="s">
        <v>67</v>
      </c>
      <c r="B567">
        <v>0.21199999999999999</v>
      </c>
      <c r="C567">
        <v>0</v>
      </c>
      <c r="D567">
        <v>2.47240752</v>
      </c>
      <c r="E567">
        <v>0</v>
      </c>
      <c r="F567">
        <v>0</v>
      </c>
      <c r="G567">
        <v>285.2192</v>
      </c>
      <c r="I567">
        <f t="shared" si="32"/>
        <v>0</v>
      </c>
      <c r="J567">
        <f t="shared" si="33"/>
        <v>49.48238246273813</v>
      </c>
      <c r="K567">
        <f t="shared" si="34"/>
        <v>0</v>
      </c>
      <c r="L567">
        <f t="shared" si="35"/>
        <v>0</v>
      </c>
    </row>
    <row r="568" spans="1:12" x14ac:dyDescent="0.35">
      <c r="A568" s="1" t="s">
        <v>68</v>
      </c>
      <c r="B568">
        <v>0.09</v>
      </c>
      <c r="C568">
        <v>0</v>
      </c>
      <c r="D568">
        <v>0</v>
      </c>
      <c r="E568">
        <v>0</v>
      </c>
      <c r="F568">
        <v>-13632</v>
      </c>
      <c r="G568">
        <v>285.36919999999998</v>
      </c>
      <c r="I568">
        <f t="shared" si="32"/>
        <v>0</v>
      </c>
      <c r="J568">
        <f t="shared" si="33"/>
        <v>0</v>
      </c>
      <c r="K568">
        <f t="shared" si="34"/>
        <v>0</v>
      </c>
      <c r="L568">
        <f t="shared" si="35"/>
        <v>-272828.74375501258</v>
      </c>
    </row>
    <row r="569" spans="1:12" x14ac:dyDescent="0.35">
      <c r="A569" s="1" t="s">
        <v>69</v>
      </c>
      <c r="B569">
        <v>0.16600000000000001</v>
      </c>
      <c r="C569">
        <v>0</v>
      </c>
      <c r="D569">
        <v>0</v>
      </c>
      <c r="E569">
        <v>-202.23429300000001</v>
      </c>
      <c r="F569">
        <v>0</v>
      </c>
      <c r="G569">
        <v>285.98606000000001</v>
      </c>
      <c r="I569">
        <f t="shared" si="32"/>
        <v>0</v>
      </c>
      <c r="J569">
        <f t="shared" si="33"/>
        <v>0</v>
      </c>
      <c r="K569">
        <f t="shared" si="34"/>
        <v>-4047.4859230760812</v>
      </c>
      <c r="L569">
        <f t="shared" si="35"/>
        <v>0</v>
      </c>
    </row>
    <row r="570" spans="1:12" x14ac:dyDescent="0.35">
      <c r="A570" s="1" t="s">
        <v>70</v>
      </c>
      <c r="B570">
        <v>0.21199999999999999</v>
      </c>
      <c r="C570">
        <v>0</v>
      </c>
      <c r="D570">
        <v>-2.53358734</v>
      </c>
      <c r="E570">
        <v>0</v>
      </c>
      <c r="F570">
        <v>0</v>
      </c>
      <c r="G570">
        <v>286.27305999999999</v>
      </c>
      <c r="I570">
        <f t="shared" si="32"/>
        <v>0</v>
      </c>
      <c r="J570">
        <f t="shared" si="33"/>
        <v>-50.706825936458621</v>
      </c>
      <c r="K570">
        <f t="shared" si="34"/>
        <v>0</v>
      </c>
      <c r="L570">
        <f t="shared" si="35"/>
        <v>0</v>
      </c>
    </row>
    <row r="571" spans="1:12" x14ac:dyDescent="0.35">
      <c r="A571" s="1" t="s">
        <v>20</v>
      </c>
      <c r="B571">
        <v>0.41782794400000001</v>
      </c>
      <c r="C571">
        <v>2.3392E-3</v>
      </c>
      <c r="D571">
        <v>0</v>
      </c>
      <c r="E571">
        <v>0</v>
      </c>
      <c r="F571">
        <v>0</v>
      </c>
      <c r="G571">
        <v>286.73788000000002</v>
      </c>
      <c r="I571">
        <f t="shared" si="32"/>
        <v>0.11204704805350077</v>
      </c>
      <c r="J571">
        <f t="shared" si="33"/>
        <v>0</v>
      </c>
      <c r="K571">
        <f t="shared" si="34"/>
        <v>0</v>
      </c>
      <c r="L571">
        <f t="shared" si="35"/>
        <v>0</v>
      </c>
    </row>
    <row r="572" spans="1:12" x14ac:dyDescent="0.35">
      <c r="A572" s="1" t="s">
        <v>21</v>
      </c>
      <c r="B572">
        <v>0.41782808399999999</v>
      </c>
      <c r="C572">
        <v>3.2192000000000002E-3</v>
      </c>
      <c r="D572">
        <v>0</v>
      </c>
      <c r="E572">
        <v>0</v>
      </c>
      <c r="F572">
        <v>0</v>
      </c>
      <c r="G572">
        <v>287.15571</v>
      </c>
      <c r="I572">
        <f t="shared" si="32"/>
        <v>0.15419875865034546</v>
      </c>
      <c r="J572">
        <f t="shared" si="33"/>
        <v>0</v>
      </c>
      <c r="K572">
        <f t="shared" si="34"/>
        <v>0</v>
      </c>
      <c r="L572">
        <f t="shared" si="35"/>
        <v>0</v>
      </c>
    </row>
    <row r="573" spans="1:12" x14ac:dyDescent="0.35">
      <c r="A573" s="1" t="s">
        <v>22</v>
      </c>
      <c r="B573">
        <v>0.41782827500000003</v>
      </c>
      <c r="C573">
        <v>4.1392E-3</v>
      </c>
      <c r="D573">
        <v>0</v>
      </c>
      <c r="E573">
        <v>0</v>
      </c>
      <c r="F573">
        <v>0</v>
      </c>
      <c r="G573">
        <v>287.57353999999998</v>
      </c>
      <c r="I573">
        <f t="shared" si="32"/>
        <v>0.19826640470947862</v>
      </c>
      <c r="J573">
        <f t="shared" si="33"/>
        <v>0</v>
      </c>
      <c r="K573">
        <f t="shared" si="34"/>
        <v>0</v>
      </c>
      <c r="L573">
        <f t="shared" si="35"/>
        <v>0</v>
      </c>
    </row>
    <row r="574" spans="1:12" x14ac:dyDescent="0.35">
      <c r="A574" s="1" t="s">
        <v>23</v>
      </c>
      <c r="B574">
        <v>0.41782864199999997</v>
      </c>
      <c r="C574">
        <v>5.4992000000000001E-3</v>
      </c>
      <c r="D574">
        <v>0</v>
      </c>
      <c r="E574">
        <v>0</v>
      </c>
      <c r="F574">
        <v>0</v>
      </c>
      <c r="G574">
        <v>287.99137000000002</v>
      </c>
      <c r="I574">
        <f t="shared" si="32"/>
        <v>0.26340975432619773</v>
      </c>
      <c r="J574">
        <f t="shared" si="33"/>
        <v>0</v>
      </c>
      <c r="K574">
        <f t="shared" si="34"/>
        <v>0</v>
      </c>
      <c r="L574">
        <f t="shared" si="35"/>
        <v>0</v>
      </c>
    </row>
    <row r="575" spans="1:12" x14ac:dyDescent="0.35">
      <c r="A575" s="1" t="s">
        <v>24</v>
      </c>
      <c r="B575">
        <v>0.41782941899999998</v>
      </c>
      <c r="C575">
        <v>7.6290999999999998E-3</v>
      </c>
      <c r="D575">
        <v>0</v>
      </c>
      <c r="E575">
        <v>0</v>
      </c>
      <c r="F575">
        <v>0</v>
      </c>
      <c r="G575">
        <v>288.4092</v>
      </c>
      <c r="I575">
        <f t="shared" si="32"/>
        <v>0.36543053893202671</v>
      </c>
      <c r="J575">
        <f t="shared" si="33"/>
        <v>0</v>
      </c>
      <c r="K575">
        <f t="shared" si="34"/>
        <v>0</v>
      </c>
      <c r="L575">
        <f t="shared" si="35"/>
        <v>0</v>
      </c>
    </row>
    <row r="576" spans="1:12" x14ac:dyDescent="0.35">
      <c r="A576" s="1" t="s">
        <v>71</v>
      </c>
      <c r="B576">
        <v>0.3745</v>
      </c>
      <c r="C576">
        <v>0</v>
      </c>
      <c r="D576">
        <v>4.5116622</v>
      </c>
      <c r="E576">
        <v>0</v>
      </c>
      <c r="F576">
        <v>0</v>
      </c>
      <c r="G576">
        <v>288.93369999999999</v>
      </c>
      <c r="I576">
        <f t="shared" si="32"/>
        <v>0</v>
      </c>
      <c r="J576">
        <f t="shared" si="33"/>
        <v>90.29571084748946</v>
      </c>
      <c r="K576">
        <f t="shared" si="34"/>
        <v>0</v>
      </c>
      <c r="L576">
        <f t="shared" si="35"/>
        <v>0</v>
      </c>
    </row>
    <row r="577" spans="1:12" x14ac:dyDescent="0.35">
      <c r="A577" s="1" t="s">
        <v>72</v>
      </c>
      <c r="B577">
        <v>1.0280365199999999</v>
      </c>
      <c r="C577">
        <v>2.4767999999999998E-2</v>
      </c>
      <c r="D577">
        <v>-1.929</v>
      </c>
      <c r="E577">
        <v>0</v>
      </c>
      <c r="F577">
        <v>0</v>
      </c>
      <c r="G577">
        <v>290.05173000000002</v>
      </c>
      <c r="I577">
        <f t="shared" si="32"/>
        <v>0.48218416286837618</v>
      </c>
      <c r="J577">
        <f t="shared" si="33"/>
        <v>-38.606708238220314</v>
      </c>
      <c r="K577">
        <f t="shared" si="34"/>
        <v>0</v>
      </c>
      <c r="L577">
        <f t="shared" si="35"/>
        <v>0</v>
      </c>
    </row>
    <row r="578" spans="1:12" x14ac:dyDescent="0.35">
      <c r="A578" s="1" t="s">
        <v>73</v>
      </c>
      <c r="B578">
        <v>0.4975</v>
      </c>
      <c r="C578">
        <v>0</v>
      </c>
      <c r="D578">
        <v>4.61414189</v>
      </c>
      <c r="E578">
        <v>0</v>
      </c>
      <c r="F578">
        <v>0</v>
      </c>
      <c r="G578">
        <v>290.63923</v>
      </c>
      <c r="I578">
        <f t="shared" si="32"/>
        <v>0</v>
      </c>
      <c r="J578">
        <f t="shared" si="33"/>
        <v>92.346723544313335</v>
      </c>
      <c r="K578">
        <f t="shared" si="34"/>
        <v>0</v>
      </c>
      <c r="L578">
        <f t="shared" si="35"/>
        <v>0</v>
      </c>
    </row>
    <row r="579" spans="1:12" x14ac:dyDescent="0.35">
      <c r="A579" s="1" t="s">
        <v>28</v>
      </c>
      <c r="B579">
        <v>0.1</v>
      </c>
      <c r="C579">
        <v>0</v>
      </c>
      <c r="D579">
        <v>0</v>
      </c>
      <c r="E579">
        <v>0</v>
      </c>
      <c r="F579">
        <v>0</v>
      </c>
      <c r="G579">
        <v>290.81029999999998</v>
      </c>
      <c r="I579">
        <f t="shared" si="32"/>
        <v>0</v>
      </c>
      <c r="J579">
        <f t="shared" si="33"/>
        <v>0</v>
      </c>
      <c r="K579">
        <f t="shared" si="34"/>
        <v>0</v>
      </c>
      <c r="L579">
        <f t="shared" si="35"/>
        <v>0</v>
      </c>
    </row>
    <row r="580" spans="1:12" x14ac:dyDescent="0.35">
      <c r="A580" s="1" t="s">
        <v>74</v>
      </c>
      <c r="B580">
        <v>0.40000102700000001</v>
      </c>
      <c r="C580">
        <v>5.2300999999999997E-3</v>
      </c>
      <c r="D580">
        <v>-1.5815999999999999</v>
      </c>
      <c r="E580">
        <v>0</v>
      </c>
      <c r="F580">
        <v>0</v>
      </c>
      <c r="G580">
        <v>291.30331000000001</v>
      </c>
      <c r="I580">
        <f t="shared" ref="I580:I643" si="36">$H$2*$C580/$B580</f>
        <v>0.26168536331815889</v>
      </c>
      <c r="J580">
        <f t="shared" ref="J580:J643" si="37">$H$2*$D580</f>
        <v>-31.653898263125576</v>
      </c>
      <c r="K580">
        <f t="shared" ref="K580:K643" si="38">$H$2*$E580</f>
        <v>0</v>
      </c>
      <c r="L580">
        <f t="shared" ref="L580:L643" si="39">$H$2*$F580</f>
        <v>0</v>
      </c>
    </row>
    <row r="581" spans="1:12" x14ac:dyDescent="0.35">
      <c r="A581" s="1" t="s">
        <v>30</v>
      </c>
      <c r="B581">
        <v>2.44294E-2</v>
      </c>
      <c r="C581">
        <v>1.0499000000000001E-3</v>
      </c>
      <c r="D581">
        <v>0</v>
      </c>
      <c r="E581">
        <v>0</v>
      </c>
      <c r="F581">
        <v>0</v>
      </c>
      <c r="G581">
        <v>291.39823999999999</v>
      </c>
      <c r="I581">
        <f t="shared" si="36"/>
        <v>0.8601331402616047</v>
      </c>
      <c r="J581">
        <f t="shared" si="37"/>
        <v>0</v>
      </c>
      <c r="K581">
        <f t="shared" si="38"/>
        <v>0</v>
      </c>
      <c r="L581">
        <f t="shared" si="39"/>
        <v>0</v>
      </c>
    </row>
    <row r="582" spans="1:12" x14ac:dyDescent="0.35">
      <c r="A582" s="1" t="s">
        <v>30</v>
      </c>
      <c r="B582">
        <v>2.44294E-2</v>
      </c>
      <c r="C582">
        <v>1.0499000000000001E-3</v>
      </c>
      <c r="D582">
        <v>0</v>
      </c>
      <c r="E582">
        <v>0</v>
      </c>
      <c r="F582">
        <v>0</v>
      </c>
      <c r="G582">
        <f>291.39824+0.0244294</f>
        <v>291.42266939999996</v>
      </c>
      <c r="I582">
        <f t="shared" si="36"/>
        <v>0.8601331402616047</v>
      </c>
      <c r="J582">
        <f t="shared" si="37"/>
        <v>0</v>
      </c>
      <c r="K582">
        <f t="shared" si="38"/>
        <v>0</v>
      </c>
      <c r="L582">
        <f t="shared" si="39"/>
        <v>0</v>
      </c>
    </row>
    <row r="583" spans="1:12" x14ac:dyDescent="0.35">
      <c r="A583" s="1" t="s">
        <v>75</v>
      </c>
      <c r="B583">
        <v>0.40000102700000001</v>
      </c>
      <c r="C583">
        <v>5.2300999999999997E-3</v>
      </c>
      <c r="D583">
        <v>-1.5815999999999999</v>
      </c>
      <c r="E583">
        <v>0</v>
      </c>
      <c r="F583">
        <v>0</v>
      </c>
      <c r="G583">
        <v>291.89317</v>
      </c>
      <c r="I583">
        <f t="shared" si="36"/>
        <v>0.26168536331815889</v>
      </c>
      <c r="J583">
        <f t="shared" si="37"/>
        <v>-31.653898263125576</v>
      </c>
      <c r="K583">
        <f t="shared" si="38"/>
        <v>0</v>
      </c>
      <c r="L583">
        <f t="shared" si="39"/>
        <v>0</v>
      </c>
    </row>
    <row r="584" spans="1:12" x14ac:dyDescent="0.35">
      <c r="A584" s="1" t="s">
        <v>76</v>
      </c>
      <c r="B584">
        <v>0.4975</v>
      </c>
      <c r="C584">
        <v>0</v>
      </c>
      <c r="D584">
        <v>4.61414189</v>
      </c>
      <c r="E584">
        <v>0</v>
      </c>
      <c r="F584">
        <v>0</v>
      </c>
      <c r="G584">
        <v>292.65474</v>
      </c>
      <c r="I584">
        <f t="shared" si="36"/>
        <v>0</v>
      </c>
      <c r="J584">
        <f t="shared" si="37"/>
        <v>92.346723544313335</v>
      </c>
      <c r="K584">
        <f t="shared" si="38"/>
        <v>0</v>
      </c>
      <c r="L584">
        <f t="shared" si="39"/>
        <v>0</v>
      </c>
    </row>
    <row r="585" spans="1:12" x14ac:dyDescent="0.35">
      <c r="A585" s="1" t="s">
        <v>77</v>
      </c>
      <c r="B585">
        <v>1.0280365199999999</v>
      </c>
      <c r="C585">
        <v>2.4767999999999998E-2</v>
      </c>
      <c r="D585">
        <v>-1.929</v>
      </c>
      <c r="E585">
        <v>0</v>
      </c>
      <c r="F585">
        <v>0</v>
      </c>
      <c r="G585">
        <v>293.77276999999998</v>
      </c>
      <c r="I585">
        <f t="shared" si="36"/>
        <v>0.48218416286837618</v>
      </c>
      <c r="J585">
        <f t="shared" si="37"/>
        <v>-38.606708238220314</v>
      </c>
      <c r="K585">
        <f t="shared" si="38"/>
        <v>0</v>
      </c>
      <c r="L585">
        <f t="shared" si="39"/>
        <v>0</v>
      </c>
    </row>
    <row r="586" spans="1:12" x14ac:dyDescent="0.35">
      <c r="A586" s="1" t="s">
        <v>78</v>
      </c>
      <c r="B586">
        <v>0.3745</v>
      </c>
      <c r="C586">
        <v>0</v>
      </c>
      <c r="D586">
        <v>4.5116622</v>
      </c>
      <c r="E586">
        <v>0</v>
      </c>
      <c r="F586">
        <v>0</v>
      </c>
      <c r="G586">
        <v>294.23727000000002</v>
      </c>
      <c r="I586">
        <f t="shared" si="36"/>
        <v>0</v>
      </c>
      <c r="J586">
        <f t="shared" si="37"/>
        <v>90.29571084748946</v>
      </c>
      <c r="K586">
        <f t="shared" si="38"/>
        <v>0</v>
      </c>
      <c r="L586">
        <f t="shared" si="39"/>
        <v>0</v>
      </c>
    </row>
    <row r="587" spans="1:12" x14ac:dyDescent="0.35">
      <c r="A587" s="1" t="s">
        <v>35</v>
      </c>
      <c r="B587">
        <v>0.41782941899999998</v>
      </c>
      <c r="C587">
        <v>7.6290999999999998E-3</v>
      </c>
      <c r="D587">
        <v>0</v>
      </c>
      <c r="E587">
        <v>0</v>
      </c>
      <c r="F587">
        <v>0</v>
      </c>
      <c r="G587">
        <v>294.80509999999998</v>
      </c>
      <c r="I587">
        <f t="shared" si="36"/>
        <v>0.36543053893202671</v>
      </c>
      <c r="J587">
        <f t="shared" si="37"/>
        <v>0</v>
      </c>
      <c r="K587">
        <f t="shared" si="38"/>
        <v>0</v>
      </c>
      <c r="L587">
        <f t="shared" si="39"/>
        <v>0</v>
      </c>
    </row>
    <row r="588" spans="1:12" x14ac:dyDescent="0.35">
      <c r="A588" s="1" t="s">
        <v>36</v>
      </c>
      <c r="B588">
        <v>0.41782864199999997</v>
      </c>
      <c r="C588">
        <v>5.4992000000000001E-3</v>
      </c>
      <c r="D588">
        <v>0</v>
      </c>
      <c r="E588">
        <v>0</v>
      </c>
      <c r="F588">
        <v>0</v>
      </c>
      <c r="G588">
        <v>295.22293000000002</v>
      </c>
      <c r="I588">
        <f t="shared" si="36"/>
        <v>0.26340975432619773</v>
      </c>
      <c r="J588">
        <f t="shared" si="37"/>
        <v>0</v>
      </c>
      <c r="K588">
        <f t="shared" si="38"/>
        <v>0</v>
      </c>
      <c r="L588">
        <f t="shared" si="39"/>
        <v>0</v>
      </c>
    </row>
    <row r="589" spans="1:12" x14ac:dyDescent="0.35">
      <c r="A589" s="1" t="s">
        <v>37</v>
      </c>
      <c r="B589">
        <v>0.41782827500000003</v>
      </c>
      <c r="C589">
        <v>4.1392E-3</v>
      </c>
      <c r="D589">
        <v>0</v>
      </c>
      <c r="E589">
        <v>0</v>
      </c>
      <c r="F589">
        <v>0</v>
      </c>
      <c r="G589">
        <v>295.64076</v>
      </c>
      <c r="I589">
        <f t="shared" si="36"/>
        <v>0.19826640470947862</v>
      </c>
      <c r="J589">
        <f t="shared" si="37"/>
        <v>0</v>
      </c>
      <c r="K589">
        <f t="shared" si="38"/>
        <v>0</v>
      </c>
      <c r="L589">
        <f t="shared" si="39"/>
        <v>0</v>
      </c>
    </row>
    <row r="590" spans="1:12" x14ac:dyDescent="0.35">
      <c r="A590" s="1" t="s">
        <v>38</v>
      </c>
      <c r="B590">
        <v>0.41782808399999999</v>
      </c>
      <c r="C590">
        <v>3.2192000000000002E-3</v>
      </c>
      <c r="D590">
        <v>0</v>
      </c>
      <c r="E590">
        <v>0</v>
      </c>
      <c r="F590">
        <v>0</v>
      </c>
      <c r="G590">
        <v>296.05858999999998</v>
      </c>
      <c r="I590">
        <f t="shared" si="36"/>
        <v>0.15419875865034546</v>
      </c>
      <c r="J590">
        <f t="shared" si="37"/>
        <v>0</v>
      </c>
      <c r="K590">
        <f t="shared" si="38"/>
        <v>0</v>
      </c>
      <c r="L590">
        <f t="shared" si="39"/>
        <v>0</v>
      </c>
    </row>
    <row r="591" spans="1:12" x14ac:dyDescent="0.35">
      <c r="A591" s="1" t="s">
        <v>39</v>
      </c>
      <c r="B591">
        <v>0.41782794400000001</v>
      </c>
      <c r="C591">
        <v>2.3392E-3</v>
      </c>
      <c r="D591">
        <v>0</v>
      </c>
      <c r="E591">
        <v>0</v>
      </c>
      <c r="F591">
        <v>0</v>
      </c>
      <c r="G591">
        <v>296.47642000000002</v>
      </c>
      <c r="I591">
        <f t="shared" si="36"/>
        <v>0.11204704805350077</v>
      </c>
      <c r="J591">
        <f t="shared" si="37"/>
        <v>0</v>
      </c>
      <c r="K591">
        <f t="shared" si="38"/>
        <v>0</v>
      </c>
      <c r="L591">
        <f t="shared" si="39"/>
        <v>0</v>
      </c>
    </row>
    <row r="592" spans="1:12" x14ac:dyDescent="0.35">
      <c r="A592" s="1" t="s">
        <v>79</v>
      </c>
      <c r="B592">
        <v>0.21199999999999999</v>
      </c>
      <c r="C592">
        <v>0</v>
      </c>
      <c r="D592">
        <v>-2.53358734</v>
      </c>
      <c r="E592">
        <v>0</v>
      </c>
      <c r="F592">
        <v>0</v>
      </c>
      <c r="G592">
        <v>296.73541999999998</v>
      </c>
      <c r="I592">
        <f t="shared" si="36"/>
        <v>0</v>
      </c>
      <c r="J592">
        <f t="shared" si="37"/>
        <v>-50.706825936458621</v>
      </c>
      <c r="K592">
        <f t="shared" si="38"/>
        <v>0</v>
      </c>
      <c r="L592">
        <f t="shared" si="39"/>
        <v>0</v>
      </c>
    </row>
    <row r="593" spans="1:12" x14ac:dyDescent="0.35">
      <c r="A593" s="1" t="s">
        <v>80</v>
      </c>
      <c r="B593">
        <v>0.16600000000000001</v>
      </c>
      <c r="C593">
        <v>0</v>
      </c>
      <c r="D593">
        <v>0</v>
      </c>
      <c r="E593">
        <v>-202.23429300000001</v>
      </c>
      <c r="F593">
        <v>0</v>
      </c>
      <c r="G593">
        <v>296.97642000000002</v>
      </c>
      <c r="I593">
        <f t="shared" si="36"/>
        <v>0</v>
      </c>
      <c r="J593">
        <f t="shared" si="37"/>
        <v>0</v>
      </c>
      <c r="K593">
        <f t="shared" si="38"/>
        <v>-4047.4859230760812</v>
      </c>
      <c r="L593">
        <f t="shared" si="39"/>
        <v>0</v>
      </c>
    </row>
    <row r="594" spans="1:12" x14ac:dyDescent="0.35">
      <c r="A594" s="1" t="s">
        <v>81</v>
      </c>
      <c r="B594">
        <v>0.09</v>
      </c>
      <c r="C594">
        <v>0</v>
      </c>
      <c r="D594">
        <v>0</v>
      </c>
      <c r="E594">
        <v>0</v>
      </c>
      <c r="F594">
        <v>-13632</v>
      </c>
      <c r="G594">
        <v>297.51727</v>
      </c>
      <c r="I594">
        <f t="shared" si="36"/>
        <v>0</v>
      </c>
      <c r="J594">
        <f t="shared" si="37"/>
        <v>0</v>
      </c>
      <c r="K594">
        <f t="shared" si="38"/>
        <v>0</v>
      </c>
      <c r="L594">
        <f t="shared" si="39"/>
        <v>-272828.74375501258</v>
      </c>
    </row>
    <row r="595" spans="1:12" x14ac:dyDescent="0.35">
      <c r="A595" s="1" t="s">
        <v>82</v>
      </c>
      <c r="B595">
        <v>0.21199999999999999</v>
      </c>
      <c r="C595">
        <v>0</v>
      </c>
      <c r="D595">
        <v>2.47240752</v>
      </c>
      <c r="E595">
        <v>0</v>
      </c>
      <c r="F595">
        <v>0</v>
      </c>
      <c r="G595">
        <v>297.78926999999999</v>
      </c>
      <c r="I595">
        <f t="shared" si="36"/>
        <v>0</v>
      </c>
      <c r="J595">
        <f t="shared" si="37"/>
        <v>49.48238246273813</v>
      </c>
      <c r="K595">
        <f t="shared" si="38"/>
        <v>0</v>
      </c>
      <c r="L595">
        <f t="shared" si="39"/>
        <v>0</v>
      </c>
    </row>
    <row r="596" spans="1:12" x14ac:dyDescent="0.35">
      <c r="A596" s="1" t="s">
        <v>83</v>
      </c>
      <c r="B596">
        <v>0.1</v>
      </c>
      <c r="C596">
        <v>0</v>
      </c>
      <c r="D596">
        <v>0</v>
      </c>
      <c r="E596">
        <v>172.62799999999999</v>
      </c>
      <c r="F596">
        <v>0</v>
      </c>
      <c r="G596">
        <v>297.96427</v>
      </c>
      <c r="I596">
        <f t="shared" si="36"/>
        <v>0</v>
      </c>
      <c r="J596">
        <f t="shared" si="37"/>
        <v>0</v>
      </c>
      <c r="K596">
        <f t="shared" si="38"/>
        <v>3454.9501450220296</v>
      </c>
      <c r="L596">
        <f t="shared" si="39"/>
        <v>0</v>
      </c>
    </row>
    <row r="597" spans="1:12" x14ac:dyDescent="0.35">
      <c r="A597" s="1" t="s">
        <v>83</v>
      </c>
      <c r="B597">
        <v>0.1</v>
      </c>
      <c r="C597">
        <v>0</v>
      </c>
      <c r="D597">
        <v>0</v>
      </c>
      <c r="E597">
        <v>172.62799999999999</v>
      </c>
      <c r="F597">
        <v>0</v>
      </c>
      <c r="G597">
        <f>0.1+297.96427</f>
        <v>298.06427000000002</v>
      </c>
      <c r="I597">
        <f t="shared" si="36"/>
        <v>0</v>
      </c>
      <c r="J597">
        <f t="shared" si="37"/>
        <v>0</v>
      </c>
      <c r="K597">
        <f t="shared" si="38"/>
        <v>3454.9501450220296</v>
      </c>
      <c r="L597">
        <f t="shared" si="39"/>
        <v>0</v>
      </c>
    </row>
    <row r="598" spans="1:12" x14ac:dyDescent="0.35">
      <c r="A598" s="1" t="s">
        <v>84</v>
      </c>
      <c r="B598">
        <v>0.21199999999999999</v>
      </c>
      <c r="C598">
        <v>0</v>
      </c>
      <c r="D598">
        <v>2.47240752</v>
      </c>
      <c r="E598">
        <v>0</v>
      </c>
      <c r="F598">
        <v>0</v>
      </c>
      <c r="G598">
        <v>298.35127</v>
      </c>
      <c r="I598">
        <f t="shared" si="36"/>
        <v>0</v>
      </c>
      <c r="J598">
        <f t="shared" si="37"/>
        <v>49.48238246273813</v>
      </c>
      <c r="K598">
        <f t="shared" si="38"/>
        <v>0</v>
      </c>
      <c r="L598">
        <f t="shared" si="39"/>
        <v>0</v>
      </c>
    </row>
    <row r="599" spans="1:12" x14ac:dyDescent="0.35">
      <c r="A599" s="1" t="s">
        <v>85</v>
      </c>
      <c r="B599">
        <v>0.16600000000000001</v>
      </c>
      <c r="C599">
        <v>0</v>
      </c>
      <c r="D599">
        <v>0</v>
      </c>
      <c r="E599">
        <v>-132.861086</v>
      </c>
      <c r="F599">
        <v>0</v>
      </c>
      <c r="G599">
        <v>299.11811999999998</v>
      </c>
      <c r="I599">
        <f t="shared" si="36"/>
        <v>0</v>
      </c>
      <c r="J599">
        <f t="shared" si="37"/>
        <v>0</v>
      </c>
      <c r="K599">
        <f t="shared" si="38"/>
        <v>-2659.0612666744933</v>
      </c>
      <c r="L599">
        <f t="shared" si="39"/>
        <v>0</v>
      </c>
    </row>
    <row r="600" spans="1:12" x14ac:dyDescent="0.35">
      <c r="A600" s="1" t="s">
        <v>86</v>
      </c>
      <c r="B600">
        <v>0.21199999999999999</v>
      </c>
      <c r="C600">
        <v>0</v>
      </c>
      <c r="D600">
        <v>-2.3709669899999999</v>
      </c>
      <c r="E600">
        <v>0</v>
      </c>
      <c r="F600">
        <v>0</v>
      </c>
      <c r="G600">
        <v>299.40512000000001</v>
      </c>
      <c r="I600">
        <f t="shared" si="36"/>
        <v>0</v>
      </c>
      <c r="J600">
        <f t="shared" si="37"/>
        <v>-47.452167353748784</v>
      </c>
      <c r="K600">
        <f t="shared" si="38"/>
        <v>0</v>
      </c>
      <c r="L600">
        <f t="shared" si="39"/>
        <v>0</v>
      </c>
    </row>
    <row r="601" spans="1:12" x14ac:dyDescent="0.35">
      <c r="A601" s="1" t="s">
        <v>48</v>
      </c>
      <c r="B601">
        <v>0.41782794400000001</v>
      </c>
      <c r="C601">
        <v>2.3392E-3</v>
      </c>
      <c r="D601">
        <v>0</v>
      </c>
      <c r="E601">
        <v>0</v>
      </c>
      <c r="F601">
        <v>0</v>
      </c>
      <c r="G601">
        <v>299.86995000000002</v>
      </c>
      <c r="I601">
        <f t="shared" si="36"/>
        <v>0.11204704805350077</v>
      </c>
      <c r="J601">
        <f t="shared" si="37"/>
        <v>0</v>
      </c>
      <c r="K601">
        <f t="shared" si="38"/>
        <v>0</v>
      </c>
      <c r="L601">
        <f t="shared" si="39"/>
        <v>0</v>
      </c>
    </row>
    <row r="602" spans="1:12" x14ac:dyDescent="0.35">
      <c r="A602" s="1" t="s">
        <v>49</v>
      </c>
      <c r="B602">
        <v>0.41782808399999999</v>
      </c>
      <c r="C602">
        <v>3.2192000000000002E-3</v>
      </c>
      <c r="D602">
        <v>0</v>
      </c>
      <c r="E602">
        <v>0</v>
      </c>
      <c r="F602">
        <v>0</v>
      </c>
      <c r="G602">
        <v>300.28778</v>
      </c>
      <c r="I602">
        <f t="shared" si="36"/>
        <v>0.15419875865034546</v>
      </c>
      <c r="J602">
        <f t="shared" si="37"/>
        <v>0</v>
      </c>
      <c r="K602">
        <f t="shared" si="38"/>
        <v>0</v>
      </c>
      <c r="L602">
        <f t="shared" si="39"/>
        <v>0</v>
      </c>
    </row>
    <row r="603" spans="1:12" x14ac:dyDescent="0.35">
      <c r="A603" s="1" t="s">
        <v>50</v>
      </c>
      <c r="B603">
        <v>0.41782827500000003</v>
      </c>
      <c r="C603">
        <v>4.1392E-3</v>
      </c>
      <c r="D603">
        <v>0</v>
      </c>
      <c r="E603">
        <v>0</v>
      </c>
      <c r="F603">
        <v>0</v>
      </c>
      <c r="G603">
        <v>300.70560999999998</v>
      </c>
      <c r="I603">
        <f t="shared" si="36"/>
        <v>0.19826640470947862</v>
      </c>
      <c r="J603">
        <f t="shared" si="37"/>
        <v>0</v>
      </c>
      <c r="K603">
        <f t="shared" si="38"/>
        <v>0</v>
      </c>
      <c r="L603">
        <f t="shared" si="39"/>
        <v>0</v>
      </c>
    </row>
    <row r="604" spans="1:12" x14ac:dyDescent="0.35">
      <c r="A604" s="1" t="s">
        <v>51</v>
      </c>
      <c r="B604">
        <v>0.41782864199999997</v>
      </c>
      <c r="C604">
        <v>5.4992000000000001E-3</v>
      </c>
      <c r="D604">
        <v>0</v>
      </c>
      <c r="E604">
        <v>0</v>
      </c>
      <c r="F604">
        <v>0</v>
      </c>
      <c r="G604">
        <v>301.12344000000002</v>
      </c>
      <c r="I604">
        <f t="shared" si="36"/>
        <v>0.26340975432619773</v>
      </c>
      <c r="J604">
        <f t="shared" si="37"/>
        <v>0</v>
      </c>
      <c r="K604">
        <f t="shared" si="38"/>
        <v>0</v>
      </c>
      <c r="L604">
        <f t="shared" si="39"/>
        <v>0</v>
      </c>
    </row>
    <row r="605" spans="1:12" x14ac:dyDescent="0.35">
      <c r="A605" s="1" t="s">
        <v>52</v>
      </c>
      <c r="B605">
        <v>0.41783028900000002</v>
      </c>
      <c r="C605">
        <v>9.4690999999999994E-3</v>
      </c>
      <c r="D605">
        <v>0</v>
      </c>
      <c r="E605">
        <v>0</v>
      </c>
      <c r="F605">
        <v>0</v>
      </c>
      <c r="G605">
        <v>301.54127</v>
      </c>
      <c r="I605">
        <f t="shared" si="36"/>
        <v>0.45356478630764774</v>
      </c>
      <c r="J605">
        <f t="shared" si="37"/>
        <v>0</v>
      </c>
      <c r="K605">
        <f t="shared" si="38"/>
        <v>0</v>
      </c>
      <c r="L605">
        <f t="shared" si="39"/>
        <v>0</v>
      </c>
    </row>
    <row r="606" spans="1:12" x14ac:dyDescent="0.35">
      <c r="A606" s="1" t="s">
        <v>87</v>
      </c>
      <c r="B606">
        <v>0.16200000000000001</v>
      </c>
      <c r="C606">
        <v>0</v>
      </c>
      <c r="D606">
        <v>-2.8698264299999998</v>
      </c>
      <c r="E606">
        <v>0</v>
      </c>
      <c r="F606">
        <v>0</v>
      </c>
      <c r="G606">
        <v>301.75027</v>
      </c>
      <c r="I606">
        <f t="shared" si="36"/>
        <v>0</v>
      </c>
      <c r="J606">
        <f t="shared" si="37"/>
        <v>-57.436263181619168</v>
      </c>
      <c r="K606">
        <f t="shared" si="38"/>
        <v>0</v>
      </c>
      <c r="L606">
        <f t="shared" si="39"/>
        <v>0</v>
      </c>
    </row>
    <row r="607" spans="1:12" x14ac:dyDescent="0.35">
      <c r="A607" s="1" t="s">
        <v>54</v>
      </c>
      <c r="B607">
        <v>0.1</v>
      </c>
      <c r="C607">
        <v>0</v>
      </c>
      <c r="D607">
        <v>0</v>
      </c>
      <c r="E607">
        <v>0</v>
      </c>
      <c r="F607">
        <v>0</v>
      </c>
      <c r="G607">
        <v>302.08026999999998</v>
      </c>
      <c r="I607">
        <f t="shared" si="36"/>
        <v>0</v>
      </c>
      <c r="J607">
        <f t="shared" si="37"/>
        <v>0</v>
      </c>
      <c r="K607">
        <f t="shared" si="38"/>
        <v>0</v>
      </c>
      <c r="L607">
        <f t="shared" si="39"/>
        <v>0</v>
      </c>
    </row>
    <row r="608" spans="1:12" x14ac:dyDescent="0.35">
      <c r="A608" s="1" t="s">
        <v>88</v>
      </c>
      <c r="B608">
        <v>0.29499999999999998</v>
      </c>
      <c r="C608">
        <v>0</v>
      </c>
      <c r="D608">
        <v>2.43875777</v>
      </c>
      <c r="E608">
        <v>0</v>
      </c>
      <c r="F608">
        <v>0</v>
      </c>
      <c r="G608">
        <v>302.48527000000001</v>
      </c>
      <c r="I608">
        <f t="shared" si="36"/>
        <v>0</v>
      </c>
      <c r="J608">
        <f t="shared" si="37"/>
        <v>48.808921560436907</v>
      </c>
      <c r="K608">
        <f t="shared" si="38"/>
        <v>0</v>
      </c>
      <c r="L608">
        <f t="shared" si="39"/>
        <v>0</v>
      </c>
    </row>
    <row r="609" spans="1:12" x14ac:dyDescent="0.35">
      <c r="A609" s="1" t="s">
        <v>56</v>
      </c>
      <c r="B609">
        <v>0.29499999999999998</v>
      </c>
      <c r="C609">
        <v>0</v>
      </c>
      <c r="D609">
        <v>2.43875777</v>
      </c>
      <c r="E609">
        <v>0</v>
      </c>
      <c r="F609">
        <v>0</v>
      </c>
      <c r="G609">
        <v>308.35842000000002</v>
      </c>
      <c r="I609">
        <f t="shared" si="36"/>
        <v>0</v>
      </c>
      <c r="J609">
        <f t="shared" si="37"/>
        <v>48.808921560436907</v>
      </c>
      <c r="K609">
        <f t="shared" si="38"/>
        <v>0</v>
      </c>
      <c r="L609">
        <f t="shared" si="39"/>
        <v>0</v>
      </c>
    </row>
    <row r="610" spans="1:12" x14ac:dyDescent="0.35">
      <c r="A610" s="1" t="s">
        <v>2</v>
      </c>
      <c r="B610">
        <v>0.1</v>
      </c>
      <c r="C610">
        <v>0</v>
      </c>
      <c r="D610">
        <v>0</v>
      </c>
      <c r="E610">
        <v>0</v>
      </c>
      <c r="F610">
        <v>0</v>
      </c>
      <c r="G610">
        <v>308.56842</v>
      </c>
      <c r="I610">
        <f t="shared" si="36"/>
        <v>0</v>
      </c>
      <c r="J610">
        <f t="shared" si="37"/>
        <v>0</v>
      </c>
      <c r="K610">
        <f t="shared" si="38"/>
        <v>0</v>
      </c>
      <c r="L610">
        <f t="shared" si="39"/>
        <v>0</v>
      </c>
    </row>
    <row r="611" spans="1:12" x14ac:dyDescent="0.35">
      <c r="A611" s="1" t="s">
        <v>57</v>
      </c>
      <c r="B611">
        <v>0.16200000000000001</v>
      </c>
      <c r="C611">
        <v>0</v>
      </c>
      <c r="D611">
        <v>-2.8698264299999998</v>
      </c>
      <c r="E611">
        <v>0</v>
      </c>
      <c r="F611">
        <v>0</v>
      </c>
      <c r="G611">
        <v>308.96042</v>
      </c>
      <c r="I611">
        <f t="shared" si="36"/>
        <v>0</v>
      </c>
      <c r="J611">
        <f t="shared" si="37"/>
        <v>-57.436263181619168</v>
      </c>
      <c r="K611">
        <f t="shared" si="38"/>
        <v>0</v>
      </c>
      <c r="L611">
        <f t="shared" si="39"/>
        <v>0</v>
      </c>
    </row>
    <row r="612" spans="1:12" x14ac:dyDescent="0.35">
      <c r="A612" s="1" t="s">
        <v>58</v>
      </c>
      <c r="B612">
        <v>0.41783028900000002</v>
      </c>
      <c r="C612">
        <v>9.4690999999999994E-3</v>
      </c>
      <c r="D612">
        <v>0</v>
      </c>
      <c r="E612">
        <v>0</v>
      </c>
      <c r="F612">
        <v>0</v>
      </c>
      <c r="G612">
        <v>309.42525000000001</v>
      </c>
      <c r="I612">
        <f t="shared" si="36"/>
        <v>0.45356478630764774</v>
      </c>
      <c r="J612">
        <f t="shared" si="37"/>
        <v>0</v>
      </c>
      <c r="K612">
        <f t="shared" si="38"/>
        <v>0</v>
      </c>
      <c r="L612">
        <f t="shared" si="39"/>
        <v>0</v>
      </c>
    </row>
    <row r="613" spans="1:12" x14ac:dyDescent="0.35">
      <c r="A613" s="1" t="s">
        <v>59</v>
      </c>
      <c r="B613">
        <v>0.41782864199999997</v>
      </c>
      <c r="C613">
        <v>5.4992000000000001E-3</v>
      </c>
      <c r="D613">
        <v>0</v>
      </c>
      <c r="E613">
        <v>0</v>
      </c>
      <c r="F613">
        <v>0</v>
      </c>
      <c r="G613">
        <v>309.84307999999999</v>
      </c>
      <c r="I613">
        <f t="shared" si="36"/>
        <v>0.26340975432619773</v>
      </c>
      <c r="J613">
        <f t="shared" si="37"/>
        <v>0</v>
      </c>
      <c r="K613">
        <f t="shared" si="38"/>
        <v>0</v>
      </c>
      <c r="L613">
        <f t="shared" si="39"/>
        <v>0</v>
      </c>
    </row>
    <row r="614" spans="1:12" x14ac:dyDescent="0.35">
      <c r="A614" s="1" t="s">
        <v>60</v>
      </c>
      <c r="B614">
        <v>0.41782827500000003</v>
      </c>
      <c r="C614">
        <v>4.1392E-3</v>
      </c>
      <c r="D614">
        <v>0</v>
      </c>
      <c r="E614">
        <v>0</v>
      </c>
      <c r="F614">
        <v>0</v>
      </c>
      <c r="G614">
        <v>310.26091000000002</v>
      </c>
      <c r="I614">
        <f t="shared" si="36"/>
        <v>0.19826640470947862</v>
      </c>
      <c r="J614">
        <f t="shared" si="37"/>
        <v>0</v>
      </c>
      <c r="K614">
        <f t="shared" si="38"/>
        <v>0</v>
      </c>
      <c r="L614">
        <f t="shared" si="39"/>
        <v>0</v>
      </c>
    </row>
    <row r="615" spans="1:12" x14ac:dyDescent="0.35">
      <c r="A615" s="1" t="s">
        <v>61</v>
      </c>
      <c r="B615">
        <v>0.41782808399999999</v>
      </c>
      <c r="C615">
        <v>3.2192000000000002E-3</v>
      </c>
      <c r="D615">
        <v>0</v>
      </c>
      <c r="E615">
        <v>0</v>
      </c>
      <c r="F615">
        <v>0</v>
      </c>
      <c r="G615">
        <v>310.67872999999997</v>
      </c>
      <c r="I615">
        <f t="shared" si="36"/>
        <v>0.15419875865034546</v>
      </c>
      <c r="J615">
        <f t="shared" si="37"/>
        <v>0</v>
      </c>
      <c r="K615">
        <f t="shared" si="38"/>
        <v>0</v>
      </c>
      <c r="L615">
        <f t="shared" si="39"/>
        <v>0</v>
      </c>
    </row>
    <row r="616" spans="1:12" x14ac:dyDescent="0.35">
      <c r="A616" s="1" t="s">
        <v>62</v>
      </c>
      <c r="B616">
        <v>0.41782794400000001</v>
      </c>
      <c r="C616">
        <v>2.3392E-3</v>
      </c>
      <c r="D616">
        <v>0</v>
      </c>
      <c r="E616">
        <v>0</v>
      </c>
      <c r="F616">
        <v>0</v>
      </c>
      <c r="G616">
        <v>311.09656000000001</v>
      </c>
      <c r="I616">
        <f t="shared" si="36"/>
        <v>0.11204704805350077</v>
      </c>
      <c r="J616">
        <f t="shared" si="37"/>
        <v>0</v>
      </c>
      <c r="K616">
        <f t="shared" si="38"/>
        <v>0</v>
      </c>
      <c r="L616">
        <f t="shared" si="39"/>
        <v>0</v>
      </c>
    </row>
    <row r="617" spans="1:12" x14ac:dyDescent="0.35">
      <c r="A617" s="1" t="s">
        <v>63</v>
      </c>
      <c r="B617">
        <v>0.21199999999999999</v>
      </c>
      <c r="C617">
        <v>0</v>
      </c>
      <c r="D617">
        <v>-2.3709669899999999</v>
      </c>
      <c r="E617">
        <v>0</v>
      </c>
      <c r="F617">
        <v>0</v>
      </c>
      <c r="G617">
        <v>311.35556000000003</v>
      </c>
      <c r="I617">
        <f t="shared" si="36"/>
        <v>0</v>
      </c>
      <c r="J617">
        <f t="shared" si="37"/>
        <v>-47.452167353748784</v>
      </c>
      <c r="K617">
        <f t="shared" si="38"/>
        <v>0</v>
      </c>
      <c r="L617">
        <f t="shared" si="39"/>
        <v>0</v>
      </c>
    </row>
    <row r="618" spans="1:12" x14ac:dyDescent="0.35">
      <c r="A618" s="1" t="s">
        <v>64</v>
      </c>
      <c r="B618">
        <v>0.16600000000000001</v>
      </c>
      <c r="C618">
        <v>0</v>
      </c>
      <c r="D618">
        <v>0</v>
      </c>
      <c r="E618">
        <v>-132.861086</v>
      </c>
      <c r="F618">
        <v>0</v>
      </c>
      <c r="G618">
        <v>311.59656000000001</v>
      </c>
      <c r="I618">
        <f t="shared" si="36"/>
        <v>0</v>
      </c>
      <c r="J618">
        <f t="shared" si="37"/>
        <v>0</v>
      </c>
      <c r="K618">
        <f t="shared" si="38"/>
        <v>-2659.0612666744933</v>
      </c>
      <c r="L618">
        <f t="shared" si="39"/>
        <v>0</v>
      </c>
    </row>
    <row r="619" spans="1:12" x14ac:dyDescent="0.35">
      <c r="A619" s="1" t="s">
        <v>65</v>
      </c>
      <c r="B619">
        <v>0.21199999999999999</v>
      </c>
      <c r="C619">
        <v>0</v>
      </c>
      <c r="D619">
        <v>2.47240752</v>
      </c>
      <c r="E619">
        <v>0</v>
      </c>
      <c r="F619">
        <v>0</v>
      </c>
      <c r="G619">
        <v>312.40940999999998</v>
      </c>
      <c r="I619">
        <f t="shared" si="36"/>
        <v>0</v>
      </c>
      <c r="J619">
        <f t="shared" si="37"/>
        <v>49.48238246273813</v>
      </c>
      <c r="K619">
        <f t="shared" si="38"/>
        <v>0</v>
      </c>
      <c r="L619">
        <f t="shared" si="39"/>
        <v>0</v>
      </c>
    </row>
    <row r="620" spans="1:12" x14ac:dyDescent="0.35">
      <c r="A620" s="1" t="s">
        <v>66</v>
      </c>
      <c r="B620">
        <v>0.1</v>
      </c>
      <c r="C620">
        <v>0</v>
      </c>
      <c r="D620">
        <v>0</v>
      </c>
      <c r="E620">
        <v>172.62799999999999</v>
      </c>
      <c r="F620">
        <v>0</v>
      </c>
      <c r="G620">
        <v>312.58440999999999</v>
      </c>
      <c r="I620">
        <f t="shared" si="36"/>
        <v>0</v>
      </c>
      <c r="J620">
        <f t="shared" si="37"/>
        <v>0</v>
      </c>
      <c r="K620">
        <f t="shared" si="38"/>
        <v>3454.9501450220296</v>
      </c>
      <c r="L620">
        <f t="shared" si="39"/>
        <v>0</v>
      </c>
    </row>
    <row r="621" spans="1:12" x14ac:dyDescent="0.35">
      <c r="A621" s="1" t="s">
        <v>66</v>
      </c>
      <c r="B621">
        <v>0.1</v>
      </c>
      <c r="C621">
        <v>0</v>
      </c>
      <c r="D621">
        <v>0</v>
      </c>
      <c r="E621">
        <v>172.62799999999999</v>
      </c>
      <c r="F621">
        <v>0</v>
      </c>
      <c r="G621">
        <f>312.58441+0.1</f>
        <v>312.68441000000001</v>
      </c>
      <c r="I621">
        <f t="shared" si="36"/>
        <v>0</v>
      </c>
      <c r="J621">
        <f t="shared" si="37"/>
        <v>0</v>
      </c>
      <c r="K621">
        <f t="shared" si="38"/>
        <v>3454.9501450220296</v>
      </c>
      <c r="L621">
        <f t="shared" si="39"/>
        <v>0</v>
      </c>
    </row>
    <row r="622" spans="1:12" x14ac:dyDescent="0.35">
      <c r="A622" s="1" t="s">
        <v>67</v>
      </c>
      <c r="B622">
        <v>0.21199999999999999</v>
      </c>
      <c r="C622">
        <v>0</v>
      </c>
      <c r="D622">
        <v>2.47240752</v>
      </c>
      <c r="E622">
        <v>0</v>
      </c>
      <c r="F622">
        <v>0</v>
      </c>
      <c r="G622">
        <v>312.97140999999999</v>
      </c>
      <c r="I622">
        <f t="shared" si="36"/>
        <v>0</v>
      </c>
      <c r="J622">
        <f t="shared" si="37"/>
        <v>49.48238246273813</v>
      </c>
      <c r="K622">
        <f t="shared" si="38"/>
        <v>0</v>
      </c>
      <c r="L622">
        <f t="shared" si="39"/>
        <v>0</v>
      </c>
    </row>
    <row r="623" spans="1:12" x14ac:dyDescent="0.35">
      <c r="A623" s="1" t="s">
        <v>68</v>
      </c>
      <c r="B623">
        <v>0.09</v>
      </c>
      <c r="C623">
        <v>0</v>
      </c>
      <c r="D623">
        <v>0</v>
      </c>
      <c r="E623">
        <v>0</v>
      </c>
      <c r="F623">
        <v>-13632</v>
      </c>
      <c r="G623">
        <v>313.12141000000003</v>
      </c>
      <c r="I623">
        <f t="shared" si="36"/>
        <v>0</v>
      </c>
      <c r="J623">
        <f t="shared" si="37"/>
        <v>0</v>
      </c>
      <c r="K623">
        <f t="shared" si="38"/>
        <v>0</v>
      </c>
      <c r="L623">
        <f t="shared" si="39"/>
        <v>-272828.74375501258</v>
      </c>
    </row>
    <row r="624" spans="1:12" x14ac:dyDescent="0.35">
      <c r="A624" s="1" t="s">
        <v>69</v>
      </c>
      <c r="B624">
        <v>0.16600000000000001</v>
      </c>
      <c r="C624">
        <v>0</v>
      </c>
      <c r="D624">
        <v>0</v>
      </c>
      <c r="E624">
        <v>-202.23429300000001</v>
      </c>
      <c r="F624">
        <v>0</v>
      </c>
      <c r="G624">
        <v>313.73827</v>
      </c>
      <c r="I624">
        <f t="shared" si="36"/>
        <v>0</v>
      </c>
      <c r="J624">
        <f t="shared" si="37"/>
        <v>0</v>
      </c>
      <c r="K624">
        <f t="shared" si="38"/>
        <v>-4047.4859230760812</v>
      </c>
      <c r="L624">
        <f t="shared" si="39"/>
        <v>0</v>
      </c>
    </row>
    <row r="625" spans="1:12" x14ac:dyDescent="0.35">
      <c r="A625" s="1" t="s">
        <v>70</v>
      </c>
      <c r="B625">
        <v>0.21199999999999999</v>
      </c>
      <c r="C625">
        <v>0</v>
      </c>
      <c r="D625">
        <v>-2.53358734</v>
      </c>
      <c r="E625">
        <v>0</v>
      </c>
      <c r="F625">
        <v>0</v>
      </c>
      <c r="G625">
        <v>314.02526999999998</v>
      </c>
      <c r="I625">
        <f t="shared" si="36"/>
        <v>0</v>
      </c>
      <c r="J625">
        <f t="shared" si="37"/>
        <v>-50.706825936458621</v>
      </c>
      <c r="K625">
        <f t="shared" si="38"/>
        <v>0</v>
      </c>
      <c r="L625">
        <f t="shared" si="39"/>
        <v>0</v>
      </c>
    </row>
    <row r="626" spans="1:12" x14ac:dyDescent="0.35">
      <c r="A626" s="1" t="s">
        <v>20</v>
      </c>
      <c r="B626">
        <v>0.41782794400000001</v>
      </c>
      <c r="C626">
        <v>2.3392E-3</v>
      </c>
      <c r="D626">
        <v>0</v>
      </c>
      <c r="E626">
        <v>0</v>
      </c>
      <c r="F626">
        <v>0</v>
      </c>
      <c r="G626">
        <v>314.49009999999998</v>
      </c>
      <c r="I626">
        <f t="shared" si="36"/>
        <v>0.11204704805350077</v>
      </c>
      <c r="J626">
        <f t="shared" si="37"/>
        <v>0</v>
      </c>
      <c r="K626">
        <f t="shared" si="38"/>
        <v>0</v>
      </c>
      <c r="L626">
        <f t="shared" si="39"/>
        <v>0</v>
      </c>
    </row>
    <row r="627" spans="1:12" x14ac:dyDescent="0.35">
      <c r="A627" s="1" t="s">
        <v>21</v>
      </c>
      <c r="B627">
        <v>0.41782808399999999</v>
      </c>
      <c r="C627">
        <v>3.2192000000000002E-3</v>
      </c>
      <c r="D627">
        <v>0</v>
      </c>
      <c r="E627">
        <v>0</v>
      </c>
      <c r="F627">
        <v>0</v>
      </c>
      <c r="G627">
        <v>314.90791999999999</v>
      </c>
      <c r="I627">
        <f t="shared" si="36"/>
        <v>0.15419875865034546</v>
      </c>
      <c r="J627">
        <f t="shared" si="37"/>
        <v>0</v>
      </c>
      <c r="K627">
        <f t="shared" si="38"/>
        <v>0</v>
      </c>
      <c r="L627">
        <f t="shared" si="39"/>
        <v>0</v>
      </c>
    </row>
    <row r="628" spans="1:12" x14ac:dyDescent="0.35">
      <c r="A628" s="1" t="s">
        <v>22</v>
      </c>
      <c r="B628">
        <v>0.41782827500000003</v>
      </c>
      <c r="C628">
        <v>4.1392E-3</v>
      </c>
      <c r="D628">
        <v>0</v>
      </c>
      <c r="E628">
        <v>0</v>
      </c>
      <c r="F628">
        <v>0</v>
      </c>
      <c r="G628">
        <v>315.32575000000003</v>
      </c>
      <c r="I628">
        <f t="shared" si="36"/>
        <v>0.19826640470947862</v>
      </c>
      <c r="J628">
        <f t="shared" si="37"/>
        <v>0</v>
      </c>
      <c r="K628">
        <f t="shared" si="38"/>
        <v>0</v>
      </c>
      <c r="L628">
        <f t="shared" si="39"/>
        <v>0</v>
      </c>
    </row>
    <row r="629" spans="1:12" x14ac:dyDescent="0.35">
      <c r="A629" s="1" t="s">
        <v>23</v>
      </c>
      <c r="B629">
        <v>0.41782864199999997</v>
      </c>
      <c r="C629">
        <v>5.4992000000000001E-3</v>
      </c>
      <c r="D629">
        <v>0</v>
      </c>
      <c r="E629">
        <v>0</v>
      </c>
      <c r="F629">
        <v>0</v>
      </c>
      <c r="G629">
        <v>315.74358000000001</v>
      </c>
      <c r="I629">
        <f t="shared" si="36"/>
        <v>0.26340975432619773</v>
      </c>
      <c r="J629">
        <f t="shared" si="37"/>
        <v>0</v>
      </c>
      <c r="K629">
        <f t="shared" si="38"/>
        <v>0</v>
      </c>
      <c r="L629">
        <f t="shared" si="39"/>
        <v>0</v>
      </c>
    </row>
    <row r="630" spans="1:12" x14ac:dyDescent="0.35">
      <c r="A630" s="1" t="s">
        <v>24</v>
      </c>
      <c r="B630">
        <v>0.41782941899999998</v>
      </c>
      <c r="C630">
        <v>7.6290999999999998E-3</v>
      </c>
      <c r="D630">
        <v>0</v>
      </c>
      <c r="E630">
        <v>0</v>
      </c>
      <c r="F630">
        <v>0</v>
      </c>
      <c r="G630">
        <v>316.16140999999999</v>
      </c>
      <c r="I630">
        <f t="shared" si="36"/>
        <v>0.36543053893202671</v>
      </c>
      <c r="J630">
        <f t="shared" si="37"/>
        <v>0</v>
      </c>
      <c r="K630">
        <f t="shared" si="38"/>
        <v>0</v>
      </c>
      <c r="L630">
        <f t="shared" si="39"/>
        <v>0</v>
      </c>
    </row>
    <row r="631" spans="1:12" x14ac:dyDescent="0.35">
      <c r="A631" s="1" t="s">
        <v>71</v>
      </c>
      <c r="B631">
        <v>0.3745</v>
      </c>
      <c r="C631">
        <v>0</v>
      </c>
      <c r="D631">
        <v>4.5116622</v>
      </c>
      <c r="E631">
        <v>0</v>
      </c>
      <c r="F631">
        <v>0</v>
      </c>
      <c r="G631">
        <v>316.68590999999998</v>
      </c>
      <c r="I631">
        <f t="shared" si="36"/>
        <v>0</v>
      </c>
      <c r="J631">
        <f t="shared" si="37"/>
        <v>90.29571084748946</v>
      </c>
      <c r="K631">
        <f t="shared" si="38"/>
        <v>0</v>
      </c>
      <c r="L631">
        <f t="shared" si="39"/>
        <v>0</v>
      </c>
    </row>
    <row r="632" spans="1:12" x14ac:dyDescent="0.35">
      <c r="A632" s="1" t="s">
        <v>72</v>
      </c>
      <c r="B632">
        <v>1.0280365199999999</v>
      </c>
      <c r="C632">
        <v>2.4767999999999998E-2</v>
      </c>
      <c r="D632">
        <v>-1.929</v>
      </c>
      <c r="E632">
        <v>0</v>
      </c>
      <c r="F632">
        <v>0</v>
      </c>
      <c r="G632">
        <v>317.80394999999999</v>
      </c>
      <c r="I632">
        <f t="shared" si="36"/>
        <v>0.48218416286837618</v>
      </c>
      <c r="J632">
        <f t="shared" si="37"/>
        <v>-38.606708238220314</v>
      </c>
      <c r="K632">
        <f t="shared" si="38"/>
        <v>0</v>
      </c>
      <c r="L632">
        <f t="shared" si="39"/>
        <v>0</v>
      </c>
    </row>
    <row r="633" spans="1:12" x14ac:dyDescent="0.35">
      <c r="A633" s="1" t="s">
        <v>73</v>
      </c>
      <c r="B633">
        <v>0.4975</v>
      </c>
      <c r="C633">
        <v>0</v>
      </c>
      <c r="D633">
        <v>4.61414189</v>
      </c>
      <c r="E633">
        <v>0</v>
      </c>
      <c r="F633">
        <v>0</v>
      </c>
      <c r="G633">
        <v>318.39145000000002</v>
      </c>
      <c r="I633">
        <f t="shared" si="36"/>
        <v>0</v>
      </c>
      <c r="J633">
        <f t="shared" si="37"/>
        <v>92.346723544313335</v>
      </c>
      <c r="K633">
        <f t="shared" si="38"/>
        <v>0</v>
      </c>
      <c r="L633">
        <f t="shared" si="39"/>
        <v>0</v>
      </c>
    </row>
    <row r="634" spans="1:12" x14ac:dyDescent="0.35">
      <c r="A634" s="1" t="s">
        <v>28</v>
      </c>
      <c r="B634">
        <v>0.1</v>
      </c>
      <c r="C634">
        <v>0</v>
      </c>
      <c r="D634">
        <v>0</v>
      </c>
      <c r="E634">
        <v>0</v>
      </c>
      <c r="F634">
        <v>0</v>
      </c>
      <c r="G634">
        <v>318.56252000000001</v>
      </c>
      <c r="I634">
        <f t="shared" si="36"/>
        <v>0</v>
      </c>
      <c r="J634">
        <f t="shared" si="37"/>
        <v>0</v>
      </c>
      <c r="K634">
        <f t="shared" si="38"/>
        <v>0</v>
      </c>
      <c r="L634">
        <f t="shared" si="39"/>
        <v>0</v>
      </c>
    </row>
    <row r="635" spans="1:12" x14ac:dyDescent="0.35">
      <c r="A635" s="1" t="s">
        <v>74</v>
      </c>
      <c r="B635">
        <v>0.40000102700000001</v>
      </c>
      <c r="C635">
        <v>5.2300999999999997E-3</v>
      </c>
      <c r="D635">
        <v>-1.5815999999999999</v>
      </c>
      <c r="E635">
        <v>0</v>
      </c>
      <c r="F635">
        <v>0</v>
      </c>
      <c r="G635">
        <v>319.05552</v>
      </c>
      <c r="I635">
        <f t="shared" si="36"/>
        <v>0.26168536331815889</v>
      </c>
      <c r="J635">
        <f t="shared" si="37"/>
        <v>-31.653898263125576</v>
      </c>
      <c r="K635">
        <f t="shared" si="38"/>
        <v>0</v>
      </c>
      <c r="L635">
        <f t="shared" si="39"/>
        <v>0</v>
      </c>
    </row>
    <row r="636" spans="1:12" x14ac:dyDescent="0.35">
      <c r="A636" s="1" t="s">
        <v>30</v>
      </c>
      <c r="B636">
        <v>2.44294E-2</v>
      </c>
      <c r="C636">
        <v>1.0499000000000001E-3</v>
      </c>
      <c r="D636">
        <v>0</v>
      </c>
      <c r="E636">
        <v>0</v>
      </c>
      <c r="F636">
        <v>0</v>
      </c>
      <c r="G636">
        <v>319.15044999999998</v>
      </c>
      <c r="I636">
        <f t="shared" si="36"/>
        <v>0.8601331402616047</v>
      </c>
      <c r="J636">
        <f t="shared" si="37"/>
        <v>0</v>
      </c>
      <c r="K636">
        <f t="shared" si="38"/>
        <v>0</v>
      </c>
      <c r="L636">
        <f t="shared" si="39"/>
        <v>0</v>
      </c>
    </row>
    <row r="637" spans="1:12" x14ac:dyDescent="0.35">
      <c r="A637" s="1" t="s">
        <v>30</v>
      </c>
      <c r="B637">
        <v>2.44294E-2</v>
      </c>
      <c r="C637">
        <v>1.0499000000000001E-3</v>
      </c>
      <c r="D637">
        <v>0</v>
      </c>
      <c r="E637">
        <v>0</v>
      </c>
      <c r="F637">
        <v>0</v>
      </c>
      <c r="G637">
        <f>319.15045+0.0244294</f>
        <v>319.17487939999995</v>
      </c>
      <c r="I637">
        <f t="shared" si="36"/>
        <v>0.8601331402616047</v>
      </c>
      <c r="J637">
        <f t="shared" si="37"/>
        <v>0</v>
      </c>
      <c r="K637">
        <f t="shared" si="38"/>
        <v>0</v>
      </c>
      <c r="L637">
        <f t="shared" si="39"/>
        <v>0</v>
      </c>
    </row>
    <row r="638" spans="1:12" x14ac:dyDescent="0.35">
      <c r="A638" s="1" t="s">
        <v>75</v>
      </c>
      <c r="B638">
        <v>0.40000102700000001</v>
      </c>
      <c r="C638">
        <v>5.2300999999999997E-3</v>
      </c>
      <c r="D638">
        <v>-1.5815999999999999</v>
      </c>
      <c r="E638">
        <v>0</v>
      </c>
      <c r="F638">
        <v>0</v>
      </c>
      <c r="G638">
        <v>319.64537999999999</v>
      </c>
      <c r="I638">
        <f t="shared" si="36"/>
        <v>0.26168536331815889</v>
      </c>
      <c r="J638">
        <f t="shared" si="37"/>
        <v>-31.653898263125576</v>
      </c>
      <c r="K638">
        <f t="shared" si="38"/>
        <v>0</v>
      </c>
      <c r="L638">
        <f t="shared" si="39"/>
        <v>0</v>
      </c>
    </row>
    <row r="639" spans="1:12" x14ac:dyDescent="0.35">
      <c r="A639" s="1" t="s">
        <v>76</v>
      </c>
      <c r="B639">
        <v>0.4975</v>
      </c>
      <c r="C639">
        <v>0</v>
      </c>
      <c r="D639">
        <v>4.61414189</v>
      </c>
      <c r="E639">
        <v>0</v>
      </c>
      <c r="F639">
        <v>0</v>
      </c>
      <c r="G639">
        <v>320.40694999999999</v>
      </c>
      <c r="I639">
        <f t="shared" si="36"/>
        <v>0</v>
      </c>
      <c r="J639">
        <f t="shared" si="37"/>
        <v>92.346723544313335</v>
      </c>
      <c r="K639">
        <f t="shared" si="38"/>
        <v>0</v>
      </c>
      <c r="L639">
        <f t="shared" si="39"/>
        <v>0</v>
      </c>
    </row>
    <row r="640" spans="1:12" x14ac:dyDescent="0.35">
      <c r="A640" s="1" t="s">
        <v>77</v>
      </c>
      <c r="B640">
        <v>1.0280365199999999</v>
      </c>
      <c r="C640">
        <v>2.4767999999999998E-2</v>
      </c>
      <c r="D640">
        <v>-1.929</v>
      </c>
      <c r="E640">
        <v>0</v>
      </c>
      <c r="F640">
        <v>0</v>
      </c>
      <c r="G640">
        <v>321.52499</v>
      </c>
      <c r="I640">
        <f t="shared" si="36"/>
        <v>0.48218416286837618</v>
      </c>
      <c r="J640">
        <f t="shared" si="37"/>
        <v>-38.606708238220314</v>
      </c>
      <c r="K640">
        <f t="shared" si="38"/>
        <v>0</v>
      </c>
      <c r="L640">
        <f t="shared" si="39"/>
        <v>0</v>
      </c>
    </row>
    <row r="641" spans="1:12" x14ac:dyDescent="0.35">
      <c r="A641" s="1" t="s">
        <v>78</v>
      </c>
      <c r="B641">
        <v>0.3745</v>
      </c>
      <c r="C641">
        <v>0</v>
      </c>
      <c r="D641">
        <v>4.5116622</v>
      </c>
      <c r="E641">
        <v>0</v>
      </c>
      <c r="F641">
        <v>0</v>
      </c>
      <c r="G641">
        <v>321.98948999999999</v>
      </c>
      <c r="I641">
        <f t="shared" si="36"/>
        <v>0</v>
      </c>
      <c r="J641">
        <f t="shared" si="37"/>
        <v>90.29571084748946</v>
      </c>
      <c r="K641">
        <f t="shared" si="38"/>
        <v>0</v>
      </c>
      <c r="L641">
        <f t="shared" si="39"/>
        <v>0</v>
      </c>
    </row>
    <row r="642" spans="1:12" x14ac:dyDescent="0.35">
      <c r="A642" s="1" t="s">
        <v>35</v>
      </c>
      <c r="B642">
        <v>0.41782941899999998</v>
      </c>
      <c r="C642">
        <v>7.6290999999999998E-3</v>
      </c>
      <c r="D642">
        <v>0</v>
      </c>
      <c r="E642">
        <v>0</v>
      </c>
      <c r="F642">
        <v>0</v>
      </c>
      <c r="G642">
        <v>322.55732</v>
      </c>
      <c r="I642">
        <f t="shared" si="36"/>
        <v>0.36543053893202671</v>
      </c>
      <c r="J642">
        <f t="shared" si="37"/>
        <v>0</v>
      </c>
      <c r="K642">
        <f t="shared" si="38"/>
        <v>0</v>
      </c>
      <c r="L642">
        <f t="shared" si="39"/>
        <v>0</v>
      </c>
    </row>
    <row r="643" spans="1:12" x14ac:dyDescent="0.35">
      <c r="A643" s="1" t="s">
        <v>36</v>
      </c>
      <c r="B643">
        <v>0.41782864199999997</v>
      </c>
      <c r="C643">
        <v>5.4992000000000001E-3</v>
      </c>
      <c r="D643">
        <v>0</v>
      </c>
      <c r="E643">
        <v>0</v>
      </c>
      <c r="F643">
        <v>0</v>
      </c>
      <c r="G643">
        <v>322.97514000000001</v>
      </c>
      <c r="I643">
        <f t="shared" si="36"/>
        <v>0.26340975432619773</v>
      </c>
      <c r="J643">
        <f t="shared" si="37"/>
        <v>0</v>
      </c>
      <c r="K643">
        <f t="shared" si="38"/>
        <v>0</v>
      </c>
      <c r="L643">
        <f t="shared" si="39"/>
        <v>0</v>
      </c>
    </row>
    <row r="644" spans="1:12" x14ac:dyDescent="0.35">
      <c r="A644" s="1" t="s">
        <v>37</v>
      </c>
      <c r="B644">
        <v>0.41782827500000003</v>
      </c>
      <c r="C644">
        <v>4.1392E-3</v>
      </c>
      <c r="D644">
        <v>0</v>
      </c>
      <c r="E644">
        <v>0</v>
      </c>
      <c r="F644">
        <v>0</v>
      </c>
      <c r="G644">
        <v>323.39296999999999</v>
      </c>
      <c r="I644">
        <f t="shared" ref="I644:I707" si="40">$H$2*$C644/$B644</f>
        <v>0.19826640470947862</v>
      </c>
      <c r="J644">
        <f t="shared" ref="J644:J707" si="41">$H$2*$D644</f>
        <v>0</v>
      </c>
      <c r="K644">
        <f t="shared" ref="K644:K707" si="42">$H$2*$E644</f>
        <v>0</v>
      </c>
      <c r="L644">
        <f t="shared" ref="L644:L707" si="43">$H$2*$F644</f>
        <v>0</v>
      </c>
    </row>
    <row r="645" spans="1:12" x14ac:dyDescent="0.35">
      <c r="A645" s="1" t="s">
        <v>38</v>
      </c>
      <c r="B645">
        <v>0.41782808399999999</v>
      </c>
      <c r="C645">
        <v>3.2192000000000002E-3</v>
      </c>
      <c r="D645">
        <v>0</v>
      </c>
      <c r="E645">
        <v>0</v>
      </c>
      <c r="F645">
        <v>0</v>
      </c>
      <c r="G645">
        <v>323.81079999999997</v>
      </c>
      <c r="I645">
        <f t="shared" si="40"/>
        <v>0.15419875865034546</v>
      </c>
      <c r="J645">
        <f t="shared" si="41"/>
        <v>0</v>
      </c>
      <c r="K645">
        <f t="shared" si="42"/>
        <v>0</v>
      </c>
      <c r="L645">
        <f t="shared" si="43"/>
        <v>0</v>
      </c>
    </row>
    <row r="646" spans="1:12" x14ac:dyDescent="0.35">
      <c r="A646" s="1" t="s">
        <v>39</v>
      </c>
      <c r="B646">
        <v>0.41782794400000001</v>
      </c>
      <c r="C646">
        <v>2.3392E-3</v>
      </c>
      <c r="D646">
        <v>0</v>
      </c>
      <c r="E646">
        <v>0</v>
      </c>
      <c r="F646">
        <v>0</v>
      </c>
      <c r="G646">
        <v>324.22863000000001</v>
      </c>
      <c r="I646">
        <f t="shared" si="40"/>
        <v>0.11204704805350077</v>
      </c>
      <c r="J646">
        <f t="shared" si="41"/>
        <v>0</v>
      </c>
      <c r="K646">
        <f t="shared" si="42"/>
        <v>0</v>
      </c>
      <c r="L646">
        <f t="shared" si="43"/>
        <v>0</v>
      </c>
    </row>
    <row r="647" spans="1:12" x14ac:dyDescent="0.35">
      <c r="A647" s="1" t="s">
        <v>79</v>
      </c>
      <c r="B647">
        <v>0.21199999999999999</v>
      </c>
      <c r="C647">
        <v>0</v>
      </c>
      <c r="D647">
        <v>-2.53358734</v>
      </c>
      <c r="E647">
        <v>0</v>
      </c>
      <c r="F647">
        <v>0</v>
      </c>
      <c r="G647">
        <v>324.48763000000002</v>
      </c>
      <c r="I647">
        <f t="shared" si="40"/>
        <v>0</v>
      </c>
      <c r="J647">
        <f t="shared" si="41"/>
        <v>-50.706825936458621</v>
      </c>
      <c r="K647">
        <f t="shared" si="42"/>
        <v>0</v>
      </c>
      <c r="L647">
        <f t="shared" si="43"/>
        <v>0</v>
      </c>
    </row>
    <row r="648" spans="1:12" x14ac:dyDescent="0.35">
      <c r="A648" s="1" t="s">
        <v>80</v>
      </c>
      <c r="B648">
        <v>0.16600000000000001</v>
      </c>
      <c r="C648">
        <v>0</v>
      </c>
      <c r="D648">
        <v>0</v>
      </c>
      <c r="E648">
        <v>-202.23429300000001</v>
      </c>
      <c r="F648">
        <v>0</v>
      </c>
      <c r="G648">
        <v>324.72863000000001</v>
      </c>
      <c r="I648">
        <f t="shared" si="40"/>
        <v>0</v>
      </c>
      <c r="J648">
        <f t="shared" si="41"/>
        <v>0</v>
      </c>
      <c r="K648">
        <f t="shared" si="42"/>
        <v>-4047.4859230760812</v>
      </c>
      <c r="L648">
        <f t="shared" si="43"/>
        <v>0</v>
      </c>
    </row>
    <row r="649" spans="1:12" x14ac:dyDescent="0.35">
      <c r="A649" s="1" t="s">
        <v>81</v>
      </c>
      <c r="B649">
        <v>0.09</v>
      </c>
      <c r="C649">
        <v>0</v>
      </c>
      <c r="D649">
        <v>0</v>
      </c>
      <c r="E649">
        <v>0</v>
      </c>
      <c r="F649">
        <v>-13632</v>
      </c>
      <c r="G649">
        <v>325.26947999999999</v>
      </c>
      <c r="I649">
        <f t="shared" si="40"/>
        <v>0</v>
      </c>
      <c r="J649">
        <f t="shared" si="41"/>
        <v>0</v>
      </c>
      <c r="K649">
        <f t="shared" si="42"/>
        <v>0</v>
      </c>
      <c r="L649">
        <f t="shared" si="43"/>
        <v>-272828.74375501258</v>
      </c>
    </row>
    <row r="650" spans="1:12" x14ac:dyDescent="0.35">
      <c r="A650" s="1" t="s">
        <v>82</v>
      </c>
      <c r="B650">
        <v>0.21199999999999999</v>
      </c>
      <c r="C650">
        <v>0</v>
      </c>
      <c r="D650">
        <v>2.47240752</v>
      </c>
      <c r="E650">
        <v>0</v>
      </c>
      <c r="F650">
        <v>0</v>
      </c>
      <c r="G650">
        <v>325.54147999999998</v>
      </c>
      <c r="I650">
        <f t="shared" si="40"/>
        <v>0</v>
      </c>
      <c r="J650">
        <f t="shared" si="41"/>
        <v>49.48238246273813</v>
      </c>
      <c r="K650">
        <f t="shared" si="42"/>
        <v>0</v>
      </c>
      <c r="L650">
        <f t="shared" si="43"/>
        <v>0</v>
      </c>
    </row>
    <row r="651" spans="1:12" x14ac:dyDescent="0.35">
      <c r="A651" s="1" t="s">
        <v>83</v>
      </c>
      <c r="B651">
        <v>0.1</v>
      </c>
      <c r="C651">
        <v>0</v>
      </c>
      <c r="D651">
        <v>0</v>
      </c>
      <c r="E651">
        <v>172.62799999999999</v>
      </c>
      <c r="F651">
        <v>0</v>
      </c>
      <c r="G651">
        <v>325.71647999999999</v>
      </c>
      <c r="I651">
        <f t="shared" si="40"/>
        <v>0</v>
      </c>
      <c r="J651">
        <f t="shared" si="41"/>
        <v>0</v>
      </c>
      <c r="K651">
        <f t="shared" si="42"/>
        <v>3454.9501450220296</v>
      </c>
      <c r="L651">
        <f t="shared" si="43"/>
        <v>0</v>
      </c>
    </row>
    <row r="652" spans="1:12" x14ac:dyDescent="0.35">
      <c r="A652" s="1" t="s">
        <v>83</v>
      </c>
      <c r="B652">
        <v>0.1</v>
      </c>
      <c r="C652">
        <v>0</v>
      </c>
      <c r="D652">
        <v>0</v>
      </c>
      <c r="E652">
        <v>172.62799999999999</v>
      </c>
      <c r="F652">
        <v>0</v>
      </c>
      <c r="G652">
        <f>0.1+325.71648</f>
        <v>325.81648000000001</v>
      </c>
      <c r="I652">
        <f t="shared" si="40"/>
        <v>0</v>
      </c>
      <c r="J652">
        <f t="shared" si="41"/>
        <v>0</v>
      </c>
      <c r="K652">
        <f t="shared" si="42"/>
        <v>3454.9501450220296</v>
      </c>
      <c r="L652">
        <f t="shared" si="43"/>
        <v>0</v>
      </c>
    </row>
    <row r="653" spans="1:12" x14ac:dyDescent="0.35">
      <c r="A653" s="1" t="s">
        <v>84</v>
      </c>
      <c r="B653">
        <v>0.21199999999999999</v>
      </c>
      <c r="C653">
        <v>0</v>
      </c>
      <c r="D653">
        <v>2.47240752</v>
      </c>
      <c r="E653">
        <v>0</v>
      </c>
      <c r="F653">
        <v>0</v>
      </c>
      <c r="G653">
        <v>326.10347999999999</v>
      </c>
      <c r="I653">
        <f t="shared" si="40"/>
        <v>0</v>
      </c>
      <c r="J653">
        <f t="shared" si="41"/>
        <v>49.48238246273813</v>
      </c>
      <c r="K653">
        <f t="shared" si="42"/>
        <v>0</v>
      </c>
      <c r="L653">
        <f t="shared" si="43"/>
        <v>0</v>
      </c>
    </row>
    <row r="654" spans="1:12" x14ac:dyDescent="0.35">
      <c r="A654" s="1" t="s">
        <v>85</v>
      </c>
      <c r="B654">
        <v>0.16600000000000001</v>
      </c>
      <c r="C654">
        <v>0</v>
      </c>
      <c r="D654">
        <v>0</v>
      </c>
      <c r="E654">
        <v>-132.861086</v>
      </c>
      <c r="F654">
        <v>0</v>
      </c>
      <c r="G654">
        <v>326.87033000000002</v>
      </c>
      <c r="I654">
        <f t="shared" si="40"/>
        <v>0</v>
      </c>
      <c r="J654">
        <f t="shared" si="41"/>
        <v>0</v>
      </c>
      <c r="K654">
        <f t="shared" si="42"/>
        <v>-2659.0612666744933</v>
      </c>
      <c r="L654">
        <f t="shared" si="43"/>
        <v>0</v>
      </c>
    </row>
    <row r="655" spans="1:12" x14ac:dyDescent="0.35">
      <c r="A655" s="1" t="s">
        <v>86</v>
      </c>
      <c r="B655">
        <v>0.21199999999999999</v>
      </c>
      <c r="C655">
        <v>0</v>
      </c>
      <c r="D655">
        <v>-2.3709669899999999</v>
      </c>
      <c r="E655">
        <v>0</v>
      </c>
      <c r="F655">
        <v>0</v>
      </c>
      <c r="G655">
        <v>327.15733</v>
      </c>
      <c r="I655">
        <f t="shared" si="40"/>
        <v>0</v>
      </c>
      <c r="J655">
        <f t="shared" si="41"/>
        <v>-47.452167353748784</v>
      </c>
      <c r="K655">
        <f t="shared" si="42"/>
        <v>0</v>
      </c>
      <c r="L655">
        <f t="shared" si="43"/>
        <v>0</v>
      </c>
    </row>
    <row r="656" spans="1:12" x14ac:dyDescent="0.35">
      <c r="A656" s="1" t="s">
        <v>48</v>
      </c>
      <c r="B656">
        <v>0.41782794400000001</v>
      </c>
      <c r="C656">
        <v>2.3392E-3</v>
      </c>
      <c r="D656">
        <v>0</v>
      </c>
      <c r="E656">
        <v>0</v>
      </c>
      <c r="F656">
        <v>0</v>
      </c>
      <c r="G656">
        <v>327.62216000000001</v>
      </c>
      <c r="I656">
        <f t="shared" si="40"/>
        <v>0.11204704805350077</v>
      </c>
      <c r="J656">
        <f t="shared" si="41"/>
        <v>0</v>
      </c>
      <c r="K656">
        <f t="shared" si="42"/>
        <v>0</v>
      </c>
      <c r="L656">
        <f t="shared" si="43"/>
        <v>0</v>
      </c>
    </row>
    <row r="657" spans="1:12" x14ac:dyDescent="0.35">
      <c r="A657" s="1" t="s">
        <v>49</v>
      </c>
      <c r="B657">
        <v>0.41782808399999999</v>
      </c>
      <c r="C657">
        <v>3.2192000000000002E-3</v>
      </c>
      <c r="D657">
        <v>0</v>
      </c>
      <c r="E657">
        <v>0</v>
      </c>
      <c r="F657">
        <v>0</v>
      </c>
      <c r="G657">
        <v>328.03998999999999</v>
      </c>
      <c r="I657">
        <f t="shared" si="40"/>
        <v>0.15419875865034546</v>
      </c>
      <c r="J657">
        <f t="shared" si="41"/>
        <v>0</v>
      </c>
      <c r="K657">
        <f t="shared" si="42"/>
        <v>0</v>
      </c>
      <c r="L657">
        <f t="shared" si="43"/>
        <v>0</v>
      </c>
    </row>
    <row r="658" spans="1:12" x14ac:dyDescent="0.35">
      <c r="A658" s="1" t="s">
        <v>50</v>
      </c>
      <c r="B658">
        <v>0.41782827500000003</v>
      </c>
      <c r="C658">
        <v>4.1392E-3</v>
      </c>
      <c r="D658">
        <v>0</v>
      </c>
      <c r="E658">
        <v>0</v>
      </c>
      <c r="F658">
        <v>0</v>
      </c>
      <c r="G658">
        <v>328.45782000000003</v>
      </c>
      <c r="I658">
        <f t="shared" si="40"/>
        <v>0.19826640470947862</v>
      </c>
      <c r="J658">
        <f t="shared" si="41"/>
        <v>0</v>
      </c>
      <c r="K658">
        <f t="shared" si="42"/>
        <v>0</v>
      </c>
      <c r="L658">
        <f t="shared" si="43"/>
        <v>0</v>
      </c>
    </row>
    <row r="659" spans="1:12" x14ac:dyDescent="0.35">
      <c r="A659" s="1" t="s">
        <v>51</v>
      </c>
      <c r="B659">
        <v>0.41782864199999997</v>
      </c>
      <c r="C659">
        <v>5.4992000000000001E-3</v>
      </c>
      <c r="D659">
        <v>0</v>
      </c>
      <c r="E659">
        <v>0</v>
      </c>
      <c r="F659">
        <v>0</v>
      </c>
      <c r="G659">
        <v>328.87565000000001</v>
      </c>
      <c r="I659">
        <f t="shared" si="40"/>
        <v>0.26340975432619773</v>
      </c>
      <c r="J659">
        <f t="shared" si="41"/>
        <v>0</v>
      </c>
      <c r="K659">
        <f t="shared" si="42"/>
        <v>0</v>
      </c>
      <c r="L659">
        <f t="shared" si="43"/>
        <v>0</v>
      </c>
    </row>
    <row r="660" spans="1:12" x14ac:dyDescent="0.35">
      <c r="A660" s="1" t="s">
        <v>52</v>
      </c>
      <c r="B660">
        <v>0.41783028900000002</v>
      </c>
      <c r="C660">
        <v>9.4690999999999994E-3</v>
      </c>
      <c r="D660">
        <v>0</v>
      </c>
      <c r="E660">
        <v>0</v>
      </c>
      <c r="F660">
        <v>0</v>
      </c>
      <c r="G660">
        <v>329.29347999999999</v>
      </c>
      <c r="I660">
        <f t="shared" si="40"/>
        <v>0.45356478630764774</v>
      </c>
      <c r="J660">
        <f t="shared" si="41"/>
        <v>0</v>
      </c>
      <c r="K660">
        <f t="shared" si="42"/>
        <v>0</v>
      </c>
      <c r="L660">
        <f t="shared" si="43"/>
        <v>0</v>
      </c>
    </row>
    <row r="661" spans="1:12" x14ac:dyDescent="0.35">
      <c r="A661" s="1" t="s">
        <v>87</v>
      </c>
      <c r="B661">
        <v>0.16200000000000001</v>
      </c>
      <c r="C661">
        <v>0</v>
      </c>
      <c r="D661">
        <v>-2.8698264299999998</v>
      </c>
      <c r="E661">
        <v>0</v>
      </c>
      <c r="F661">
        <v>0</v>
      </c>
      <c r="G661">
        <v>329.50247999999999</v>
      </c>
      <c r="I661">
        <f t="shared" si="40"/>
        <v>0</v>
      </c>
      <c r="J661">
        <f t="shared" si="41"/>
        <v>-57.436263181619168</v>
      </c>
      <c r="K661">
        <f t="shared" si="42"/>
        <v>0</v>
      </c>
      <c r="L661">
        <f t="shared" si="43"/>
        <v>0</v>
      </c>
    </row>
    <row r="662" spans="1:12" x14ac:dyDescent="0.35">
      <c r="A662" s="1" t="s">
        <v>54</v>
      </c>
      <c r="B662">
        <v>0.1</v>
      </c>
      <c r="C662">
        <v>0</v>
      </c>
      <c r="D662">
        <v>0</v>
      </c>
      <c r="E662">
        <v>0</v>
      </c>
      <c r="F662">
        <v>0</v>
      </c>
      <c r="G662">
        <v>329.83247999999998</v>
      </c>
      <c r="I662">
        <f t="shared" si="40"/>
        <v>0</v>
      </c>
      <c r="J662">
        <f t="shared" si="41"/>
        <v>0</v>
      </c>
      <c r="K662">
        <f t="shared" si="42"/>
        <v>0</v>
      </c>
      <c r="L662">
        <f t="shared" si="43"/>
        <v>0</v>
      </c>
    </row>
    <row r="663" spans="1:12" x14ac:dyDescent="0.35">
      <c r="A663" s="1" t="s">
        <v>88</v>
      </c>
      <c r="B663">
        <v>0.29499999999999998</v>
      </c>
      <c r="C663">
        <v>0</v>
      </c>
      <c r="D663">
        <v>2.43875777</v>
      </c>
      <c r="E663">
        <v>0</v>
      </c>
      <c r="F663">
        <v>0</v>
      </c>
      <c r="G663">
        <v>330.23748000000001</v>
      </c>
      <c r="I663">
        <f t="shared" si="40"/>
        <v>0</v>
      </c>
      <c r="J663">
        <f t="shared" si="41"/>
        <v>48.808921560436907</v>
      </c>
      <c r="K663">
        <f t="shared" si="42"/>
        <v>0</v>
      </c>
      <c r="L663">
        <f t="shared" si="43"/>
        <v>0</v>
      </c>
    </row>
    <row r="664" spans="1:12" x14ac:dyDescent="0.35">
      <c r="A664" s="1" t="s">
        <v>56</v>
      </c>
      <c r="B664">
        <v>0.29499999999999998</v>
      </c>
      <c r="C664">
        <v>0</v>
      </c>
      <c r="D664">
        <v>2.43875777</v>
      </c>
      <c r="E664">
        <v>0</v>
      </c>
      <c r="F664">
        <v>0</v>
      </c>
      <c r="G664">
        <v>336.11063000000001</v>
      </c>
      <c r="I664">
        <f t="shared" si="40"/>
        <v>0</v>
      </c>
      <c r="J664">
        <f t="shared" si="41"/>
        <v>48.808921560436907</v>
      </c>
      <c r="K664">
        <f t="shared" si="42"/>
        <v>0</v>
      </c>
      <c r="L664">
        <f t="shared" si="43"/>
        <v>0</v>
      </c>
    </row>
    <row r="665" spans="1:12" x14ac:dyDescent="0.35">
      <c r="A665" s="1" t="s">
        <v>2</v>
      </c>
      <c r="B665">
        <v>0.1</v>
      </c>
      <c r="C665">
        <v>0</v>
      </c>
      <c r="D665">
        <v>0</v>
      </c>
      <c r="E665">
        <v>0</v>
      </c>
      <c r="F665">
        <v>0</v>
      </c>
      <c r="G665">
        <v>336.32062999999999</v>
      </c>
      <c r="I665">
        <f t="shared" si="40"/>
        <v>0</v>
      </c>
      <c r="J665">
        <f t="shared" si="41"/>
        <v>0</v>
      </c>
      <c r="K665">
        <f t="shared" si="42"/>
        <v>0</v>
      </c>
      <c r="L665">
        <f t="shared" si="43"/>
        <v>0</v>
      </c>
    </row>
    <row r="666" spans="1:12" x14ac:dyDescent="0.35">
      <c r="A666" s="1" t="s">
        <v>57</v>
      </c>
      <c r="B666">
        <v>0.16200000000000001</v>
      </c>
      <c r="C666">
        <v>0</v>
      </c>
      <c r="D666">
        <v>-2.8698264299999998</v>
      </c>
      <c r="E666">
        <v>0</v>
      </c>
      <c r="F666">
        <v>0</v>
      </c>
      <c r="G666">
        <v>336.71262999999999</v>
      </c>
      <c r="I666">
        <f t="shared" si="40"/>
        <v>0</v>
      </c>
      <c r="J666">
        <f t="shared" si="41"/>
        <v>-57.436263181619168</v>
      </c>
      <c r="K666">
        <f t="shared" si="42"/>
        <v>0</v>
      </c>
      <c r="L666">
        <f t="shared" si="43"/>
        <v>0</v>
      </c>
    </row>
    <row r="667" spans="1:12" x14ac:dyDescent="0.35">
      <c r="A667" s="1" t="s">
        <v>58</v>
      </c>
      <c r="B667">
        <v>0.41783028900000002</v>
      </c>
      <c r="C667">
        <v>9.4690999999999994E-3</v>
      </c>
      <c r="D667">
        <v>0</v>
      </c>
      <c r="E667">
        <v>0</v>
      </c>
      <c r="F667">
        <v>0</v>
      </c>
      <c r="G667">
        <v>337.17746</v>
      </c>
      <c r="I667">
        <f t="shared" si="40"/>
        <v>0.45356478630764774</v>
      </c>
      <c r="J667">
        <f t="shared" si="41"/>
        <v>0</v>
      </c>
      <c r="K667">
        <f t="shared" si="42"/>
        <v>0</v>
      </c>
      <c r="L667">
        <f t="shared" si="43"/>
        <v>0</v>
      </c>
    </row>
    <row r="668" spans="1:12" x14ac:dyDescent="0.35">
      <c r="A668" s="1" t="s">
        <v>59</v>
      </c>
      <c r="B668">
        <v>0.41782864199999997</v>
      </c>
      <c r="C668">
        <v>5.4992000000000001E-3</v>
      </c>
      <c r="D668">
        <v>0</v>
      </c>
      <c r="E668">
        <v>0</v>
      </c>
      <c r="F668">
        <v>0</v>
      </c>
      <c r="G668">
        <v>337.59528999999998</v>
      </c>
      <c r="I668">
        <f t="shared" si="40"/>
        <v>0.26340975432619773</v>
      </c>
      <c r="J668">
        <f t="shared" si="41"/>
        <v>0</v>
      </c>
      <c r="K668">
        <f t="shared" si="42"/>
        <v>0</v>
      </c>
      <c r="L668">
        <f t="shared" si="43"/>
        <v>0</v>
      </c>
    </row>
    <row r="669" spans="1:12" x14ac:dyDescent="0.35">
      <c r="A669" s="1" t="s">
        <v>60</v>
      </c>
      <c r="B669">
        <v>0.41782827500000003</v>
      </c>
      <c r="C669">
        <v>4.1392E-3</v>
      </c>
      <c r="D669">
        <v>0</v>
      </c>
      <c r="E669">
        <v>0</v>
      </c>
      <c r="F669">
        <v>0</v>
      </c>
      <c r="G669">
        <v>338.01312000000001</v>
      </c>
      <c r="I669">
        <f t="shared" si="40"/>
        <v>0.19826640470947862</v>
      </c>
      <c r="J669">
        <f t="shared" si="41"/>
        <v>0</v>
      </c>
      <c r="K669">
        <f t="shared" si="42"/>
        <v>0</v>
      </c>
      <c r="L669">
        <f t="shared" si="43"/>
        <v>0</v>
      </c>
    </row>
    <row r="670" spans="1:12" x14ac:dyDescent="0.35">
      <c r="A670" s="1" t="s">
        <v>61</v>
      </c>
      <c r="B670">
        <v>0.41782808399999999</v>
      </c>
      <c r="C670">
        <v>3.2192000000000002E-3</v>
      </c>
      <c r="D670">
        <v>0</v>
      </c>
      <c r="E670">
        <v>0</v>
      </c>
      <c r="F670">
        <v>0</v>
      </c>
      <c r="G670">
        <v>338.43095</v>
      </c>
      <c r="I670">
        <f t="shared" si="40"/>
        <v>0.15419875865034546</v>
      </c>
      <c r="J670">
        <f t="shared" si="41"/>
        <v>0</v>
      </c>
      <c r="K670">
        <f t="shared" si="42"/>
        <v>0</v>
      </c>
      <c r="L670">
        <f t="shared" si="43"/>
        <v>0</v>
      </c>
    </row>
    <row r="671" spans="1:12" x14ac:dyDescent="0.35">
      <c r="A671" s="1" t="s">
        <v>62</v>
      </c>
      <c r="B671">
        <v>0.41782794400000001</v>
      </c>
      <c r="C671">
        <v>2.3392E-3</v>
      </c>
      <c r="D671">
        <v>0</v>
      </c>
      <c r="E671">
        <v>0</v>
      </c>
      <c r="F671">
        <v>0</v>
      </c>
      <c r="G671">
        <v>338.84877</v>
      </c>
      <c r="I671">
        <f t="shared" si="40"/>
        <v>0.11204704805350077</v>
      </c>
      <c r="J671">
        <f t="shared" si="41"/>
        <v>0</v>
      </c>
      <c r="K671">
        <f t="shared" si="42"/>
        <v>0</v>
      </c>
      <c r="L671">
        <f t="shared" si="43"/>
        <v>0</v>
      </c>
    </row>
    <row r="672" spans="1:12" x14ac:dyDescent="0.35">
      <c r="A672" s="1" t="s">
        <v>63</v>
      </c>
      <c r="B672">
        <v>0.21199999999999999</v>
      </c>
      <c r="C672">
        <v>0</v>
      </c>
      <c r="D672">
        <v>-2.3709669899999999</v>
      </c>
      <c r="E672">
        <v>0</v>
      </c>
      <c r="F672">
        <v>0</v>
      </c>
      <c r="G672">
        <v>339.10777000000002</v>
      </c>
      <c r="I672">
        <f t="shared" si="40"/>
        <v>0</v>
      </c>
      <c r="J672">
        <f t="shared" si="41"/>
        <v>-47.452167353748784</v>
      </c>
      <c r="K672">
        <f t="shared" si="42"/>
        <v>0</v>
      </c>
      <c r="L672">
        <f t="shared" si="43"/>
        <v>0</v>
      </c>
    </row>
    <row r="673" spans="1:12" x14ac:dyDescent="0.35">
      <c r="A673" s="1" t="s">
        <v>64</v>
      </c>
      <c r="B673">
        <v>0.16600000000000001</v>
      </c>
      <c r="C673">
        <v>0</v>
      </c>
      <c r="D673">
        <v>0</v>
      </c>
      <c r="E673">
        <v>-132.861086</v>
      </c>
      <c r="F673">
        <v>0</v>
      </c>
      <c r="G673">
        <v>339.34877</v>
      </c>
      <c r="I673">
        <f t="shared" si="40"/>
        <v>0</v>
      </c>
      <c r="J673">
        <f t="shared" si="41"/>
        <v>0</v>
      </c>
      <c r="K673">
        <f t="shared" si="42"/>
        <v>-2659.0612666744933</v>
      </c>
      <c r="L673">
        <f t="shared" si="43"/>
        <v>0</v>
      </c>
    </row>
    <row r="674" spans="1:12" x14ac:dyDescent="0.35">
      <c r="A674" s="1" t="s">
        <v>65</v>
      </c>
      <c r="B674">
        <v>0.21199999999999999</v>
      </c>
      <c r="C674">
        <v>0</v>
      </c>
      <c r="D674">
        <v>2.47240752</v>
      </c>
      <c r="E674">
        <v>0</v>
      </c>
      <c r="F674">
        <v>0</v>
      </c>
      <c r="G674">
        <v>340.16163</v>
      </c>
      <c r="I674">
        <f t="shared" si="40"/>
        <v>0</v>
      </c>
      <c r="J674">
        <f t="shared" si="41"/>
        <v>49.48238246273813</v>
      </c>
      <c r="K674">
        <f t="shared" si="42"/>
        <v>0</v>
      </c>
      <c r="L674">
        <f t="shared" si="43"/>
        <v>0</v>
      </c>
    </row>
    <row r="675" spans="1:12" x14ac:dyDescent="0.35">
      <c r="A675" s="1" t="s">
        <v>66</v>
      </c>
      <c r="B675">
        <v>0.1</v>
      </c>
      <c r="C675">
        <v>0</v>
      </c>
      <c r="D675">
        <v>0</v>
      </c>
      <c r="E675">
        <v>172.62799999999999</v>
      </c>
      <c r="F675">
        <v>0</v>
      </c>
      <c r="G675">
        <v>340.33663000000001</v>
      </c>
      <c r="I675">
        <f t="shared" si="40"/>
        <v>0</v>
      </c>
      <c r="J675">
        <f t="shared" si="41"/>
        <v>0</v>
      </c>
      <c r="K675">
        <f t="shared" si="42"/>
        <v>3454.9501450220296</v>
      </c>
      <c r="L675">
        <f t="shared" si="43"/>
        <v>0</v>
      </c>
    </row>
    <row r="676" spans="1:12" x14ac:dyDescent="0.35">
      <c r="A676" s="1" t="s">
        <v>66</v>
      </c>
      <c r="B676">
        <v>0.1</v>
      </c>
      <c r="C676">
        <v>0</v>
      </c>
      <c r="D676">
        <v>0</v>
      </c>
      <c r="E676">
        <v>172.62799999999999</v>
      </c>
      <c r="F676">
        <v>0</v>
      </c>
      <c r="G676">
        <f>340.33663+0.1</f>
        <v>340.43663000000004</v>
      </c>
      <c r="I676">
        <f t="shared" si="40"/>
        <v>0</v>
      </c>
      <c r="J676">
        <f t="shared" si="41"/>
        <v>0</v>
      </c>
      <c r="K676">
        <f t="shared" si="42"/>
        <v>3454.9501450220296</v>
      </c>
      <c r="L676">
        <f t="shared" si="43"/>
        <v>0</v>
      </c>
    </row>
    <row r="677" spans="1:12" x14ac:dyDescent="0.35">
      <c r="A677" s="1" t="s">
        <v>67</v>
      </c>
      <c r="B677">
        <v>0.21199999999999999</v>
      </c>
      <c r="C677">
        <v>0</v>
      </c>
      <c r="D677">
        <v>2.47240752</v>
      </c>
      <c r="E677">
        <v>0</v>
      </c>
      <c r="F677">
        <v>0</v>
      </c>
      <c r="G677">
        <v>340.72363000000001</v>
      </c>
      <c r="I677">
        <f t="shared" si="40"/>
        <v>0</v>
      </c>
      <c r="J677">
        <f t="shared" si="41"/>
        <v>49.48238246273813</v>
      </c>
      <c r="K677">
        <f t="shared" si="42"/>
        <v>0</v>
      </c>
      <c r="L677">
        <f t="shared" si="43"/>
        <v>0</v>
      </c>
    </row>
    <row r="678" spans="1:12" x14ac:dyDescent="0.35">
      <c r="A678" s="1" t="s">
        <v>68</v>
      </c>
      <c r="B678">
        <v>0.09</v>
      </c>
      <c r="C678">
        <v>0</v>
      </c>
      <c r="D678">
        <v>0</v>
      </c>
      <c r="E678">
        <v>0</v>
      </c>
      <c r="F678">
        <v>-13632</v>
      </c>
      <c r="G678">
        <v>340.87362999999999</v>
      </c>
      <c r="I678">
        <f t="shared" si="40"/>
        <v>0</v>
      </c>
      <c r="J678">
        <f t="shared" si="41"/>
        <v>0</v>
      </c>
      <c r="K678">
        <f t="shared" si="42"/>
        <v>0</v>
      </c>
      <c r="L678">
        <f t="shared" si="43"/>
        <v>-272828.74375501258</v>
      </c>
    </row>
    <row r="679" spans="1:12" x14ac:dyDescent="0.35">
      <c r="A679" s="1" t="s">
        <v>69</v>
      </c>
      <c r="B679">
        <v>0.16600000000000001</v>
      </c>
      <c r="C679">
        <v>0</v>
      </c>
      <c r="D679">
        <v>0</v>
      </c>
      <c r="E679">
        <v>-202.23429300000001</v>
      </c>
      <c r="F679">
        <v>0</v>
      </c>
      <c r="G679">
        <v>341.49047999999999</v>
      </c>
      <c r="I679">
        <f t="shared" si="40"/>
        <v>0</v>
      </c>
      <c r="J679">
        <f t="shared" si="41"/>
        <v>0</v>
      </c>
      <c r="K679">
        <f t="shared" si="42"/>
        <v>-4047.4859230760812</v>
      </c>
      <c r="L679">
        <f t="shared" si="43"/>
        <v>0</v>
      </c>
    </row>
    <row r="680" spans="1:12" x14ac:dyDescent="0.35">
      <c r="A680" s="1" t="s">
        <v>70</v>
      </c>
      <c r="B680">
        <v>0.21199999999999999</v>
      </c>
      <c r="C680">
        <v>0</v>
      </c>
      <c r="D680">
        <v>-2.53358734</v>
      </c>
      <c r="E680">
        <v>0</v>
      </c>
      <c r="F680">
        <v>0</v>
      </c>
      <c r="G680">
        <v>341.77748000000003</v>
      </c>
      <c r="I680">
        <f t="shared" si="40"/>
        <v>0</v>
      </c>
      <c r="J680">
        <f t="shared" si="41"/>
        <v>-50.706825936458621</v>
      </c>
      <c r="K680">
        <f t="shared" si="42"/>
        <v>0</v>
      </c>
      <c r="L680">
        <f t="shared" si="43"/>
        <v>0</v>
      </c>
    </row>
    <row r="681" spans="1:12" x14ac:dyDescent="0.35">
      <c r="A681" s="1" t="s">
        <v>20</v>
      </c>
      <c r="B681">
        <v>0.41782794400000001</v>
      </c>
      <c r="C681">
        <v>2.3392E-3</v>
      </c>
      <c r="D681">
        <v>0</v>
      </c>
      <c r="E681">
        <v>0</v>
      </c>
      <c r="F681">
        <v>0</v>
      </c>
      <c r="G681">
        <v>342.24230999999997</v>
      </c>
      <c r="I681">
        <f t="shared" si="40"/>
        <v>0.11204704805350077</v>
      </c>
      <c r="J681">
        <f t="shared" si="41"/>
        <v>0</v>
      </c>
      <c r="K681">
        <f t="shared" si="42"/>
        <v>0</v>
      </c>
      <c r="L681">
        <f t="shared" si="43"/>
        <v>0</v>
      </c>
    </row>
    <row r="682" spans="1:12" x14ac:dyDescent="0.35">
      <c r="A682" s="1" t="s">
        <v>21</v>
      </c>
      <c r="B682">
        <v>0.41782808399999999</v>
      </c>
      <c r="C682">
        <v>3.2192000000000002E-3</v>
      </c>
      <c r="D682">
        <v>0</v>
      </c>
      <c r="E682">
        <v>0</v>
      </c>
      <c r="F682">
        <v>0</v>
      </c>
      <c r="G682">
        <v>342.66014000000001</v>
      </c>
      <c r="I682">
        <f t="shared" si="40"/>
        <v>0.15419875865034546</v>
      </c>
      <c r="J682">
        <f t="shared" si="41"/>
        <v>0</v>
      </c>
      <c r="K682">
        <f t="shared" si="42"/>
        <v>0</v>
      </c>
      <c r="L682">
        <f t="shared" si="43"/>
        <v>0</v>
      </c>
    </row>
    <row r="683" spans="1:12" x14ac:dyDescent="0.35">
      <c r="A683" s="1" t="s">
        <v>22</v>
      </c>
      <c r="B683">
        <v>0.41782827500000003</v>
      </c>
      <c r="C683">
        <v>4.1392E-3</v>
      </c>
      <c r="D683">
        <v>0</v>
      </c>
      <c r="E683">
        <v>0</v>
      </c>
      <c r="F683">
        <v>0</v>
      </c>
      <c r="G683">
        <v>343.07796999999999</v>
      </c>
      <c r="I683">
        <f t="shared" si="40"/>
        <v>0.19826640470947862</v>
      </c>
      <c r="J683">
        <f t="shared" si="41"/>
        <v>0</v>
      </c>
      <c r="K683">
        <f t="shared" si="42"/>
        <v>0</v>
      </c>
      <c r="L683">
        <f t="shared" si="43"/>
        <v>0</v>
      </c>
    </row>
    <row r="684" spans="1:12" x14ac:dyDescent="0.35">
      <c r="A684" s="1" t="s">
        <v>23</v>
      </c>
      <c r="B684">
        <v>0.41782864199999997</v>
      </c>
      <c r="C684">
        <v>5.4992000000000001E-3</v>
      </c>
      <c r="D684">
        <v>0</v>
      </c>
      <c r="E684">
        <v>0</v>
      </c>
      <c r="F684">
        <v>0</v>
      </c>
      <c r="G684">
        <v>343.49579</v>
      </c>
      <c r="I684">
        <f t="shared" si="40"/>
        <v>0.26340975432619773</v>
      </c>
      <c r="J684">
        <f t="shared" si="41"/>
        <v>0</v>
      </c>
      <c r="K684">
        <f t="shared" si="42"/>
        <v>0</v>
      </c>
      <c r="L684">
        <f t="shared" si="43"/>
        <v>0</v>
      </c>
    </row>
    <row r="685" spans="1:12" x14ac:dyDescent="0.35">
      <c r="A685" s="1" t="s">
        <v>24</v>
      </c>
      <c r="B685">
        <v>0.41782941899999998</v>
      </c>
      <c r="C685">
        <v>7.6290999999999998E-3</v>
      </c>
      <c r="D685">
        <v>0</v>
      </c>
      <c r="E685">
        <v>0</v>
      </c>
      <c r="F685">
        <v>0</v>
      </c>
      <c r="G685">
        <v>343.91361999999998</v>
      </c>
      <c r="I685">
        <f t="shared" si="40"/>
        <v>0.36543053893202671</v>
      </c>
      <c r="J685">
        <f t="shared" si="41"/>
        <v>0</v>
      </c>
      <c r="K685">
        <f t="shared" si="42"/>
        <v>0</v>
      </c>
      <c r="L685">
        <f t="shared" si="43"/>
        <v>0</v>
      </c>
    </row>
    <row r="686" spans="1:12" x14ac:dyDescent="0.35">
      <c r="A686" s="1" t="s">
        <v>71</v>
      </c>
      <c r="B686">
        <v>0.3745</v>
      </c>
      <c r="C686">
        <v>0</v>
      </c>
      <c r="D686">
        <v>4.5116622</v>
      </c>
      <c r="E686">
        <v>0</v>
      </c>
      <c r="F686">
        <v>0</v>
      </c>
      <c r="G686">
        <v>344.43812000000003</v>
      </c>
      <c r="I686">
        <f t="shared" si="40"/>
        <v>0</v>
      </c>
      <c r="J686">
        <f t="shared" si="41"/>
        <v>90.29571084748946</v>
      </c>
      <c r="K686">
        <f t="shared" si="42"/>
        <v>0</v>
      </c>
      <c r="L686">
        <f t="shared" si="43"/>
        <v>0</v>
      </c>
    </row>
    <row r="687" spans="1:12" x14ac:dyDescent="0.35">
      <c r="A687" s="1" t="s">
        <v>72</v>
      </c>
      <c r="B687">
        <v>1.0280365199999999</v>
      </c>
      <c r="C687">
        <v>2.4767999999999998E-2</v>
      </c>
      <c r="D687">
        <v>-1.929</v>
      </c>
      <c r="E687">
        <v>0</v>
      </c>
      <c r="F687">
        <v>0</v>
      </c>
      <c r="G687">
        <v>345.55615999999998</v>
      </c>
      <c r="I687">
        <f t="shared" si="40"/>
        <v>0.48218416286837618</v>
      </c>
      <c r="J687">
        <f t="shared" si="41"/>
        <v>-38.606708238220314</v>
      </c>
      <c r="K687">
        <f t="shared" si="42"/>
        <v>0</v>
      </c>
      <c r="L687">
        <f t="shared" si="43"/>
        <v>0</v>
      </c>
    </row>
    <row r="688" spans="1:12" x14ac:dyDescent="0.35">
      <c r="A688" s="1" t="s">
        <v>73</v>
      </c>
      <c r="B688">
        <v>0.4975</v>
      </c>
      <c r="C688">
        <v>0</v>
      </c>
      <c r="D688">
        <v>4.61414189</v>
      </c>
      <c r="E688">
        <v>0</v>
      </c>
      <c r="F688">
        <v>0</v>
      </c>
      <c r="G688">
        <v>346.14366000000001</v>
      </c>
      <c r="I688">
        <f t="shared" si="40"/>
        <v>0</v>
      </c>
      <c r="J688">
        <f t="shared" si="41"/>
        <v>92.346723544313335</v>
      </c>
      <c r="K688">
        <f t="shared" si="42"/>
        <v>0</v>
      </c>
      <c r="L688">
        <f t="shared" si="43"/>
        <v>0</v>
      </c>
    </row>
    <row r="689" spans="1:12" x14ac:dyDescent="0.35">
      <c r="A689" s="1" t="s">
        <v>28</v>
      </c>
      <c r="B689">
        <v>0.1</v>
      </c>
      <c r="C689">
        <v>0</v>
      </c>
      <c r="D689">
        <v>0</v>
      </c>
      <c r="E689">
        <v>0</v>
      </c>
      <c r="F689">
        <v>0</v>
      </c>
      <c r="G689">
        <v>346.31473</v>
      </c>
      <c r="I689">
        <f t="shared" si="40"/>
        <v>0</v>
      </c>
      <c r="J689">
        <f t="shared" si="41"/>
        <v>0</v>
      </c>
      <c r="K689">
        <f t="shared" si="42"/>
        <v>0</v>
      </c>
      <c r="L689">
        <f t="shared" si="43"/>
        <v>0</v>
      </c>
    </row>
    <row r="690" spans="1:12" x14ac:dyDescent="0.35">
      <c r="A690" s="1" t="s">
        <v>74</v>
      </c>
      <c r="B690">
        <v>0.40000102700000001</v>
      </c>
      <c r="C690">
        <v>5.2300999999999997E-3</v>
      </c>
      <c r="D690">
        <v>-1.5815999999999999</v>
      </c>
      <c r="E690">
        <v>0</v>
      </c>
      <c r="F690">
        <v>0</v>
      </c>
      <c r="G690">
        <v>346.80772999999999</v>
      </c>
      <c r="I690">
        <f t="shared" si="40"/>
        <v>0.26168536331815889</v>
      </c>
      <c r="J690">
        <f t="shared" si="41"/>
        <v>-31.653898263125576</v>
      </c>
      <c r="K690">
        <f t="shared" si="42"/>
        <v>0</v>
      </c>
      <c r="L690">
        <f t="shared" si="43"/>
        <v>0</v>
      </c>
    </row>
    <row r="691" spans="1:12" x14ac:dyDescent="0.35">
      <c r="A691" s="1" t="s">
        <v>30</v>
      </c>
      <c r="B691">
        <v>2.44294E-2</v>
      </c>
      <c r="C691">
        <v>1.0499000000000001E-3</v>
      </c>
      <c r="D691">
        <v>0</v>
      </c>
      <c r="E691">
        <v>0</v>
      </c>
      <c r="F691">
        <v>0</v>
      </c>
      <c r="G691">
        <v>346.90266000000003</v>
      </c>
      <c r="I691">
        <f t="shared" si="40"/>
        <v>0.8601331402616047</v>
      </c>
      <c r="J691">
        <f t="shared" si="41"/>
        <v>0</v>
      </c>
      <c r="K691">
        <f t="shared" si="42"/>
        <v>0</v>
      </c>
      <c r="L691">
        <f t="shared" si="43"/>
        <v>0</v>
      </c>
    </row>
    <row r="692" spans="1:12" x14ac:dyDescent="0.35">
      <c r="A692" s="1" t="s">
        <v>30</v>
      </c>
      <c r="B692">
        <v>2.44294E-2</v>
      </c>
      <c r="C692">
        <v>1.0499000000000001E-3</v>
      </c>
      <c r="D692">
        <v>0</v>
      </c>
      <c r="E692">
        <v>0</v>
      </c>
      <c r="F692">
        <v>0</v>
      </c>
      <c r="G692">
        <f>346.90266+0.0244294</f>
        <v>346.9270894</v>
      </c>
      <c r="I692">
        <f t="shared" si="40"/>
        <v>0.8601331402616047</v>
      </c>
      <c r="J692">
        <f t="shared" si="41"/>
        <v>0</v>
      </c>
      <c r="K692">
        <f t="shared" si="42"/>
        <v>0</v>
      </c>
      <c r="L692">
        <f t="shared" si="43"/>
        <v>0</v>
      </c>
    </row>
    <row r="693" spans="1:12" x14ac:dyDescent="0.35">
      <c r="A693" s="1" t="s">
        <v>75</v>
      </c>
      <c r="B693">
        <v>0.40000102700000001</v>
      </c>
      <c r="C693">
        <v>5.2300999999999997E-3</v>
      </c>
      <c r="D693">
        <v>-1.5815999999999999</v>
      </c>
      <c r="E693">
        <v>0</v>
      </c>
      <c r="F693">
        <v>0</v>
      </c>
      <c r="G693">
        <v>347.39758999999998</v>
      </c>
      <c r="I693">
        <f t="shared" si="40"/>
        <v>0.26168536331815889</v>
      </c>
      <c r="J693">
        <f t="shared" si="41"/>
        <v>-31.653898263125576</v>
      </c>
      <c r="K693">
        <f t="shared" si="42"/>
        <v>0</v>
      </c>
      <c r="L693">
        <f t="shared" si="43"/>
        <v>0</v>
      </c>
    </row>
    <row r="694" spans="1:12" x14ac:dyDescent="0.35">
      <c r="A694" s="1" t="s">
        <v>76</v>
      </c>
      <c r="B694">
        <v>0.4975</v>
      </c>
      <c r="C694">
        <v>0</v>
      </c>
      <c r="D694">
        <v>4.61414189</v>
      </c>
      <c r="E694">
        <v>0</v>
      </c>
      <c r="F694">
        <v>0</v>
      </c>
      <c r="G694">
        <v>348.15915999999999</v>
      </c>
      <c r="I694">
        <f t="shared" si="40"/>
        <v>0</v>
      </c>
      <c r="J694">
        <f t="shared" si="41"/>
        <v>92.346723544313335</v>
      </c>
      <c r="K694">
        <f t="shared" si="42"/>
        <v>0</v>
      </c>
      <c r="L694">
        <f t="shared" si="43"/>
        <v>0</v>
      </c>
    </row>
    <row r="695" spans="1:12" x14ac:dyDescent="0.35">
      <c r="A695" s="1" t="s">
        <v>77</v>
      </c>
      <c r="B695">
        <v>1.0280365199999999</v>
      </c>
      <c r="C695">
        <v>2.4767999999999998E-2</v>
      </c>
      <c r="D695">
        <v>-1.929</v>
      </c>
      <c r="E695">
        <v>0</v>
      </c>
      <c r="F695">
        <v>0</v>
      </c>
      <c r="G695">
        <v>349.27719999999999</v>
      </c>
      <c r="I695">
        <f t="shared" si="40"/>
        <v>0.48218416286837618</v>
      </c>
      <c r="J695">
        <f t="shared" si="41"/>
        <v>-38.606708238220314</v>
      </c>
      <c r="K695">
        <f t="shared" si="42"/>
        <v>0</v>
      </c>
      <c r="L695">
        <f t="shared" si="43"/>
        <v>0</v>
      </c>
    </row>
    <row r="696" spans="1:12" x14ac:dyDescent="0.35">
      <c r="A696" s="1" t="s">
        <v>78</v>
      </c>
      <c r="B696">
        <v>0.3745</v>
      </c>
      <c r="C696">
        <v>0</v>
      </c>
      <c r="D696">
        <v>4.5116622</v>
      </c>
      <c r="E696">
        <v>0</v>
      </c>
      <c r="F696">
        <v>0</v>
      </c>
      <c r="G696">
        <v>349.74169999999998</v>
      </c>
      <c r="I696">
        <f t="shared" si="40"/>
        <v>0</v>
      </c>
      <c r="J696">
        <f t="shared" si="41"/>
        <v>90.29571084748946</v>
      </c>
      <c r="K696">
        <f t="shared" si="42"/>
        <v>0</v>
      </c>
      <c r="L696">
        <f t="shared" si="43"/>
        <v>0</v>
      </c>
    </row>
    <row r="697" spans="1:12" x14ac:dyDescent="0.35">
      <c r="A697" s="1" t="s">
        <v>35</v>
      </c>
      <c r="B697">
        <v>0.41782941899999998</v>
      </c>
      <c r="C697">
        <v>7.6290999999999998E-3</v>
      </c>
      <c r="D697">
        <v>0</v>
      </c>
      <c r="E697">
        <v>0</v>
      </c>
      <c r="F697">
        <v>0</v>
      </c>
      <c r="G697">
        <v>350.30953</v>
      </c>
      <c r="I697">
        <f t="shared" si="40"/>
        <v>0.36543053893202671</v>
      </c>
      <c r="J697">
        <f t="shared" si="41"/>
        <v>0</v>
      </c>
      <c r="K697">
        <f t="shared" si="42"/>
        <v>0</v>
      </c>
      <c r="L697">
        <f t="shared" si="43"/>
        <v>0</v>
      </c>
    </row>
    <row r="698" spans="1:12" x14ac:dyDescent="0.35">
      <c r="A698" s="1" t="s">
        <v>36</v>
      </c>
      <c r="B698">
        <v>0.41782864199999997</v>
      </c>
      <c r="C698">
        <v>5.4992000000000001E-3</v>
      </c>
      <c r="D698">
        <v>0</v>
      </c>
      <c r="E698">
        <v>0</v>
      </c>
      <c r="F698">
        <v>0</v>
      </c>
      <c r="G698">
        <v>350.72735999999998</v>
      </c>
      <c r="I698">
        <f t="shared" si="40"/>
        <v>0.26340975432619773</v>
      </c>
      <c r="J698">
        <f t="shared" si="41"/>
        <v>0</v>
      </c>
      <c r="K698">
        <f t="shared" si="42"/>
        <v>0</v>
      </c>
      <c r="L698">
        <f t="shared" si="43"/>
        <v>0</v>
      </c>
    </row>
    <row r="699" spans="1:12" x14ac:dyDescent="0.35">
      <c r="A699" s="1" t="s">
        <v>37</v>
      </c>
      <c r="B699">
        <v>0.41782827500000003</v>
      </c>
      <c r="C699">
        <v>4.1392E-3</v>
      </c>
      <c r="D699">
        <v>0</v>
      </c>
      <c r="E699">
        <v>0</v>
      </c>
      <c r="F699">
        <v>0</v>
      </c>
      <c r="G699">
        <v>351.14517999999998</v>
      </c>
      <c r="I699">
        <f t="shared" si="40"/>
        <v>0.19826640470947862</v>
      </c>
      <c r="J699">
        <f t="shared" si="41"/>
        <v>0</v>
      </c>
      <c r="K699">
        <f t="shared" si="42"/>
        <v>0</v>
      </c>
      <c r="L699">
        <f t="shared" si="43"/>
        <v>0</v>
      </c>
    </row>
    <row r="700" spans="1:12" x14ac:dyDescent="0.35">
      <c r="A700" s="1" t="s">
        <v>38</v>
      </c>
      <c r="B700">
        <v>0.41782808399999999</v>
      </c>
      <c r="C700">
        <v>3.2192000000000002E-3</v>
      </c>
      <c r="D700">
        <v>0</v>
      </c>
      <c r="E700">
        <v>0</v>
      </c>
      <c r="F700">
        <v>0</v>
      </c>
      <c r="G700">
        <v>351.56301000000002</v>
      </c>
      <c r="I700">
        <f t="shared" si="40"/>
        <v>0.15419875865034546</v>
      </c>
      <c r="J700">
        <f t="shared" si="41"/>
        <v>0</v>
      </c>
      <c r="K700">
        <f t="shared" si="42"/>
        <v>0</v>
      </c>
      <c r="L700">
        <f t="shared" si="43"/>
        <v>0</v>
      </c>
    </row>
    <row r="701" spans="1:12" x14ac:dyDescent="0.35">
      <c r="A701" s="1" t="s">
        <v>39</v>
      </c>
      <c r="B701">
        <v>0.41782794400000001</v>
      </c>
      <c r="C701">
        <v>2.3392E-3</v>
      </c>
      <c r="D701">
        <v>0</v>
      </c>
      <c r="E701">
        <v>0</v>
      </c>
      <c r="F701">
        <v>0</v>
      </c>
      <c r="G701">
        <v>351.98084</v>
      </c>
      <c r="I701">
        <f t="shared" si="40"/>
        <v>0.11204704805350077</v>
      </c>
      <c r="J701">
        <f t="shared" si="41"/>
        <v>0</v>
      </c>
      <c r="K701">
        <f t="shared" si="42"/>
        <v>0</v>
      </c>
      <c r="L701">
        <f t="shared" si="43"/>
        <v>0</v>
      </c>
    </row>
    <row r="702" spans="1:12" x14ac:dyDescent="0.35">
      <c r="A702" s="1" t="s">
        <v>79</v>
      </c>
      <c r="B702">
        <v>0.21199999999999999</v>
      </c>
      <c r="C702">
        <v>0</v>
      </c>
      <c r="D702">
        <v>-2.53358734</v>
      </c>
      <c r="E702">
        <v>0</v>
      </c>
      <c r="F702">
        <v>0</v>
      </c>
      <c r="G702">
        <v>352.23984000000002</v>
      </c>
      <c r="I702">
        <f t="shared" si="40"/>
        <v>0</v>
      </c>
      <c r="J702">
        <f t="shared" si="41"/>
        <v>-50.706825936458621</v>
      </c>
      <c r="K702">
        <f t="shared" si="42"/>
        <v>0</v>
      </c>
      <c r="L702">
        <f t="shared" si="43"/>
        <v>0</v>
      </c>
    </row>
    <row r="703" spans="1:12" x14ac:dyDescent="0.35">
      <c r="A703" s="1" t="s">
        <v>80</v>
      </c>
      <c r="B703">
        <v>0.16600000000000001</v>
      </c>
      <c r="C703">
        <v>0</v>
      </c>
      <c r="D703">
        <v>0</v>
      </c>
      <c r="E703">
        <v>-202.23429300000001</v>
      </c>
      <c r="F703">
        <v>0</v>
      </c>
      <c r="G703">
        <v>352.48084</v>
      </c>
      <c r="I703">
        <f t="shared" si="40"/>
        <v>0</v>
      </c>
      <c r="J703">
        <f t="shared" si="41"/>
        <v>0</v>
      </c>
      <c r="K703">
        <f t="shared" si="42"/>
        <v>-4047.4859230760812</v>
      </c>
      <c r="L703">
        <f t="shared" si="43"/>
        <v>0</v>
      </c>
    </row>
    <row r="704" spans="1:12" x14ac:dyDescent="0.35">
      <c r="A704" s="1" t="s">
        <v>81</v>
      </c>
      <c r="B704">
        <v>0.09</v>
      </c>
      <c r="C704">
        <v>0</v>
      </c>
      <c r="D704">
        <v>0</v>
      </c>
      <c r="E704">
        <v>0</v>
      </c>
      <c r="F704">
        <v>-13632</v>
      </c>
      <c r="G704">
        <v>353.02168999999998</v>
      </c>
      <c r="I704">
        <f t="shared" si="40"/>
        <v>0</v>
      </c>
      <c r="J704">
        <f t="shared" si="41"/>
        <v>0</v>
      </c>
      <c r="K704">
        <f t="shared" si="42"/>
        <v>0</v>
      </c>
      <c r="L704">
        <f t="shared" si="43"/>
        <v>-272828.74375501258</v>
      </c>
    </row>
    <row r="705" spans="1:12" x14ac:dyDescent="0.35">
      <c r="A705" s="1" t="s">
        <v>82</v>
      </c>
      <c r="B705">
        <v>0.21199999999999999</v>
      </c>
      <c r="C705">
        <v>0</v>
      </c>
      <c r="D705">
        <v>2.47240752</v>
      </c>
      <c r="E705">
        <v>0</v>
      </c>
      <c r="F705">
        <v>0</v>
      </c>
      <c r="G705">
        <v>353.29369000000003</v>
      </c>
      <c r="I705">
        <f t="shared" si="40"/>
        <v>0</v>
      </c>
      <c r="J705">
        <f t="shared" si="41"/>
        <v>49.48238246273813</v>
      </c>
      <c r="K705">
        <f t="shared" si="42"/>
        <v>0</v>
      </c>
      <c r="L705">
        <f t="shared" si="43"/>
        <v>0</v>
      </c>
    </row>
    <row r="706" spans="1:12" x14ac:dyDescent="0.35">
      <c r="A706" s="1" t="s">
        <v>83</v>
      </c>
      <c r="B706">
        <v>0.1</v>
      </c>
      <c r="C706">
        <v>0</v>
      </c>
      <c r="D706">
        <v>0</v>
      </c>
      <c r="E706">
        <v>172.62799999999999</v>
      </c>
      <c r="F706">
        <v>0</v>
      </c>
      <c r="G706">
        <v>353.46868999999998</v>
      </c>
      <c r="I706">
        <f t="shared" si="40"/>
        <v>0</v>
      </c>
      <c r="J706">
        <f t="shared" si="41"/>
        <v>0</v>
      </c>
      <c r="K706">
        <f t="shared" si="42"/>
        <v>3454.9501450220296</v>
      </c>
      <c r="L706">
        <f t="shared" si="43"/>
        <v>0</v>
      </c>
    </row>
    <row r="707" spans="1:12" x14ac:dyDescent="0.35">
      <c r="A707" s="1" t="s">
        <v>83</v>
      </c>
      <c r="B707">
        <v>0.1</v>
      </c>
      <c r="C707">
        <v>0</v>
      </c>
      <c r="D707">
        <v>0</v>
      </c>
      <c r="E707">
        <v>172.62799999999999</v>
      </c>
      <c r="F707">
        <v>0</v>
      </c>
      <c r="G707">
        <f>0.1+353.46869</f>
        <v>353.56869</v>
      </c>
      <c r="I707">
        <f t="shared" si="40"/>
        <v>0</v>
      </c>
      <c r="J707">
        <f t="shared" si="41"/>
        <v>0</v>
      </c>
      <c r="K707">
        <f t="shared" si="42"/>
        <v>3454.9501450220296</v>
      </c>
      <c r="L707">
        <f t="shared" si="43"/>
        <v>0</v>
      </c>
    </row>
    <row r="708" spans="1:12" x14ac:dyDescent="0.35">
      <c r="A708" s="1" t="s">
        <v>84</v>
      </c>
      <c r="B708">
        <v>0.21199999999999999</v>
      </c>
      <c r="C708">
        <v>0</v>
      </c>
      <c r="D708">
        <v>2.47240752</v>
      </c>
      <c r="E708">
        <v>0</v>
      </c>
      <c r="F708">
        <v>0</v>
      </c>
      <c r="G708">
        <v>353.85568999999998</v>
      </c>
      <c r="I708">
        <f t="shared" ref="I708:I771" si="44">$H$2*$C708/$B708</f>
        <v>0</v>
      </c>
      <c r="J708">
        <f t="shared" ref="J708:J771" si="45">$H$2*$D708</f>
        <v>49.48238246273813</v>
      </c>
      <c r="K708">
        <f t="shared" ref="K708:K771" si="46">$H$2*$E708</f>
        <v>0</v>
      </c>
      <c r="L708">
        <f t="shared" ref="L708:L771" si="47">$H$2*$F708</f>
        <v>0</v>
      </c>
    </row>
    <row r="709" spans="1:12" x14ac:dyDescent="0.35">
      <c r="A709" s="1" t="s">
        <v>85</v>
      </c>
      <c r="B709">
        <v>0.16600000000000001</v>
      </c>
      <c r="C709">
        <v>0</v>
      </c>
      <c r="D709">
        <v>0</v>
      </c>
      <c r="E709">
        <v>-132.861086</v>
      </c>
      <c r="F709">
        <v>0</v>
      </c>
      <c r="G709">
        <v>354.62254999999999</v>
      </c>
      <c r="I709">
        <f t="shared" si="44"/>
        <v>0</v>
      </c>
      <c r="J709">
        <f t="shared" si="45"/>
        <v>0</v>
      </c>
      <c r="K709">
        <f t="shared" si="46"/>
        <v>-2659.0612666744933</v>
      </c>
      <c r="L709">
        <f t="shared" si="47"/>
        <v>0</v>
      </c>
    </row>
    <row r="710" spans="1:12" x14ac:dyDescent="0.35">
      <c r="A710" s="1" t="s">
        <v>86</v>
      </c>
      <c r="B710">
        <v>0.21199999999999999</v>
      </c>
      <c r="C710">
        <v>0</v>
      </c>
      <c r="D710">
        <v>-2.3709669899999999</v>
      </c>
      <c r="E710">
        <v>0</v>
      </c>
      <c r="F710">
        <v>0</v>
      </c>
      <c r="G710">
        <v>354.90955000000002</v>
      </c>
      <c r="I710">
        <f t="shared" si="44"/>
        <v>0</v>
      </c>
      <c r="J710">
        <f t="shared" si="45"/>
        <v>-47.452167353748784</v>
      </c>
      <c r="K710">
        <f t="shared" si="46"/>
        <v>0</v>
      </c>
      <c r="L710">
        <f t="shared" si="47"/>
        <v>0</v>
      </c>
    </row>
    <row r="711" spans="1:12" x14ac:dyDescent="0.35">
      <c r="A711" s="1" t="s">
        <v>48</v>
      </c>
      <c r="B711">
        <v>0.41782794400000001</v>
      </c>
      <c r="C711">
        <v>2.3392E-3</v>
      </c>
      <c r="D711">
        <v>0</v>
      </c>
      <c r="E711">
        <v>0</v>
      </c>
      <c r="F711">
        <v>0</v>
      </c>
      <c r="G711">
        <v>355.37437999999997</v>
      </c>
      <c r="I711">
        <f t="shared" si="44"/>
        <v>0.11204704805350077</v>
      </c>
      <c r="J711">
        <f t="shared" si="45"/>
        <v>0</v>
      </c>
      <c r="K711">
        <f t="shared" si="46"/>
        <v>0</v>
      </c>
      <c r="L711">
        <f t="shared" si="47"/>
        <v>0</v>
      </c>
    </row>
    <row r="712" spans="1:12" x14ac:dyDescent="0.35">
      <c r="A712" s="1" t="s">
        <v>49</v>
      </c>
      <c r="B712">
        <v>0.41782808399999999</v>
      </c>
      <c r="C712">
        <v>3.2192000000000002E-3</v>
      </c>
      <c r="D712">
        <v>0</v>
      </c>
      <c r="E712">
        <v>0</v>
      </c>
      <c r="F712">
        <v>0</v>
      </c>
      <c r="G712">
        <v>355.79219999999998</v>
      </c>
      <c r="I712">
        <f t="shared" si="44"/>
        <v>0.15419875865034546</v>
      </c>
      <c r="J712">
        <f t="shared" si="45"/>
        <v>0</v>
      </c>
      <c r="K712">
        <f t="shared" si="46"/>
        <v>0</v>
      </c>
      <c r="L712">
        <f t="shared" si="47"/>
        <v>0</v>
      </c>
    </row>
    <row r="713" spans="1:12" x14ac:dyDescent="0.35">
      <c r="A713" s="1" t="s">
        <v>50</v>
      </c>
      <c r="B713">
        <v>0.41782827500000003</v>
      </c>
      <c r="C713">
        <v>4.1392E-3</v>
      </c>
      <c r="D713">
        <v>0</v>
      </c>
      <c r="E713">
        <v>0</v>
      </c>
      <c r="F713">
        <v>0</v>
      </c>
      <c r="G713">
        <v>356.21003000000002</v>
      </c>
      <c r="I713">
        <f t="shared" si="44"/>
        <v>0.19826640470947862</v>
      </c>
      <c r="J713">
        <f t="shared" si="45"/>
        <v>0</v>
      </c>
      <c r="K713">
        <f t="shared" si="46"/>
        <v>0</v>
      </c>
      <c r="L713">
        <f t="shared" si="47"/>
        <v>0</v>
      </c>
    </row>
    <row r="714" spans="1:12" x14ac:dyDescent="0.35">
      <c r="A714" s="1" t="s">
        <v>51</v>
      </c>
      <c r="B714">
        <v>0.41782864199999997</v>
      </c>
      <c r="C714">
        <v>5.4992000000000001E-3</v>
      </c>
      <c r="D714">
        <v>0</v>
      </c>
      <c r="E714">
        <v>0</v>
      </c>
      <c r="F714">
        <v>0</v>
      </c>
      <c r="G714">
        <v>356.62786</v>
      </c>
      <c r="I714">
        <f t="shared" si="44"/>
        <v>0.26340975432619773</v>
      </c>
      <c r="J714">
        <f t="shared" si="45"/>
        <v>0</v>
      </c>
      <c r="K714">
        <f t="shared" si="46"/>
        <v>0</v>
      </c>
      <c r="L714">
        <f t="shared" si="47"/>
        <v>0</v>
      </c>
    </row>
    <row r="715" spans="1:12" x14ac:dyDescent="0.35">
      <c r="A715" s="1" t="s">
        <v>52</v>
      </c>
      <c r="B715">
        <v>0.41783028900000002</v>
      </c>
      <c r="C715">
        <v>9.4690999999999994E-3</v>
      </c>
      <c r="D715">
        <v>0</v>
      </c>
      <c r="E715">
        <v>0</v>
      </c>
      <c r="F715">
        <v>0</v>
      </c>
      <c r="G715">
        <v>357.04568999999998</v>
      </c>
      <c r="I715">
        <f t="shared" si="44"/>
        <v>0.45356478630764774</v>
      </c>
      <c r="J715">
        <f t="shared" si="45"/>
        <v>0</v>
      </c>
      <c r="K715">
        <f t="shared" si="46"/>
        <v>0</v>
      </c>
      <c r="L715">
        <f t="shared" si="47"/>
        <v>0</v>
      </c>
    </row>
    <row r="716" spans="1:12" x14ac:dyDescent="0.35">
      <c r="A716" s="1" t="s">
        <v>87</v>
      </c>
      <c r="B716">
        <v>0.16200000000000001</v>
      </c>
      <c r="C716">
        <v>0</v>
      </c>
      <c r="D716">
        <v>-2.8698264299999998</v>
      </c>
      <c r="E716">
        <v>0</v>
      </c>
      <c r="F716">
        <v>0</v>
      </c>
      <c r="G716">
        <v>357.25468999999998</v>
      </c>
      <c r="I716">
        <f t="shared" si="44"/>
        <v>0</v>
      </c>
      <c r="J716">
        <f t="shared" si="45"/>
        <v>-57.436263181619168</v>
      </c>
      <c r="K716">
        <f t="shared" si="46"/>
        <v>0</v>
      </c>
      <c r="L716">
        <f t="shared" si="47"/>
        <v>0</v>
      </c>
    </row>
    <row r="717" spans="1:12" x14ac:dyDescent="0.35">
      <c r="A717" s="1" t="s">
        <v>54</v>
      </c>
      <c r="B717">
        <v>0.1</v>
      </c>
      <c r="C717">
        <v>0</v>
      </c>
      <c r="D717">
        <v>0</v>
      </c>
      <c r="E717">
        <v>0</v>
      </c>
      <c r="F717">
        <v>0</v>
      </c>
      <c r="G717">
        <v>357.58469000000002</v>
      </c>
      <c r="I717">
        <f t="shared" si="44"/>
        <v>0</v>
      </c>
      <c r="J717">
        <f t="shared" si="45"/>
        <v>0</v>
      </c>
      <c r="K717">
        <f t="shared" si="46"/>
        <v>0</v>
      </c>
      <c r="L717">
        <f t="shared" si="47"/>
        <v>0</v>
      </c>
    </row>
    <row r="718" spans="1:12" x14ac:dyDescent="0.35">
      <c r="A718" s="1" t="s">
        <v>88</v>
      </c>
      <c r="B718">
        <v>0.29499999999999998</v>
      </c>
      <c r="C718">
        <v>0</v>
      </c>
      <c r="D718">
        <v>2.43875777</v>
      </c>
      <c r="E718">
        <v>0</v>
      </c>
      <c r="F718">
        <v>0</v>
      </c>
      <c r="G718">
        <v>357.98969</v>
      </c>
      <c r="I718">
        <f t="shared" si="44"/>
        <v>0</v>
      </c>
      <c r="J718">
        <f t="shared" si="45"/>
        <v>48.808921560436907</v>
      </c>
      <c r="K718">
        <f t="shared" si="46"/>
        <v>0</v>
      </c>
      <c r="L718">
        <f t="shared" si="47"/>
        <v>0</v>
      </c>
    </row>
    <row r="719" spans="1:12" x14ac:dyDescent="0.35">
      <c r="A719" s="1" t="s">
        <v>56</v>
      </c>
      <c r="B719">
        <v>0.29499999999999998</v>
      </c>
      <c r="C719">
        <v>0</v>
      </c>
      <c r="D719">
        <v>2.43875777</v>
      </c>
      <c r="E719">
        <v>0</v>
      </c>
      <c r="F719">
        <v>0</v>
      </c>
      <c r="G719">
        <v>363.86284000000001</v>
      </c>
      <c r="I719">
        <f t="shared" si="44"/>
        <v>0</v>
      </c>
      <c r="J719">
        <f t="shared" si="45"/>
        <v>48.808921560436907</v>
      </c>
      <c r="K719">
        <f t="shared" si="46"/>
        <v>0</v>
      </c>
      <c r="L719">
        <f t="shared" si="47"/>
        <v>0</v>
      </c>
    </row>
    <row r="720" spans="1:12" x14ac:dyDescent="0.35">
      <c r="A720" s="1" t="s">
        <v>2</v>
      </c>
      <c r="B720">
        <v>0.1</v>
      </c>
      <c r="C720">
        <v>0</v>
      </c>
      <c r="D720">
        <v>0</v>
      </c>
      <c r="E720">
        <v>0</v>
      </c>
      <c r="F720">
        <v>0</v>
      </c>
      <c r="G720">
        <v>364.07283999999999</v>
      </c>
      <c r="I720">
        <f t="shared" si="44"/>
        <v>0</v>
      </c>
      <c r="J720">
        <f t="shared" si="45"/>
        <v>0</v>
      </c>
      <c r="K720">
        <f t="shared" si="46"/>
        <v>0</v>
      </c>
      <c r="L720">
        <f t="shared" si="47"/>
        <v>0</v>
      </c>
    </row>
    <row r="721" spans="1:12" x14ac:dyDescent="0.35">
      <c r="A721" s="1" t="s">
        <v>57</v>
      </c>
      <c r="B721">
        <v>0.16200000000000001</v>
      </c>
      <c r="C721">
        <v>0</v>
      </c>
      <c r="D721">
        <v>-2.8698264299999998</v>
      </c>
      <c r="E721">
        <v>0</v>
      </c>
      <c r="F721">
        <v>0</v>
      </c>
      <c r="G721">
        <v>364.46483999999998</v>
      </c>
      <c r="I721">
        <f t="shared" si="44"/>
        <v>0</v>
      </c>
      <c r="J721">
        <f t="shared" si="45"/>
        <v>-57.436263181619168</v>
      </c>
      <c r="K721">
        <f t="shared" si="46"/>
        <v>0</v>
      </c>
      <c r="L721">
        <f t="shared" si="47"/>
        <v>0</v>
      </c>
    </row>
    <row r="722" spans="1:12" x14ac:dyDescent="0.35">
      <c r="A722" s="1" t="s">
        <v>58</v>
      </c>
      <c r="B722">
        <v>0.41783028900000002</v>
      </c>
      <c r="C722">
        <v>9.4690999999999994E-3</v>
      </c>
      <c r="D722">
        <v>0</v>
      </c>
      <c r="E722">
        <v>0</v>
      </c>
      <c r="F722">
        <v>0</v>
      </c>
      <c r="G722">
        <v>364.92966999999999</v>
      </c>
      <c r="I722">
        <f t="shared" si="44"/>
        <v>0.45356478630764774</v>
      </c>
      <c r="J722">
        <f t="shared" si="45"/>
        <v>0</v>
      </c>
      <c r="K722">
        <f t="shared" si="46"/>
        <v>0</v>
      </c>
      <c r="L722">
        <f t="shared" si="47"/>
        <v>0</v>
      </c>
    </row>
    <row r="723" spans="1:12" x14ac:dyDescent="0.35">
      <c r="A723" s="1" t="s">
        <v>59</v>
      </c>
      <c r="B723">
        <v>0.41782864199999997</v>
      </c>
      <c r="C723">
        <v>5.4992000000000001E-3</v>
      </c>
      <c r="D723">
        <v>0</v>
      </c>
      <c r="E723">
        <v>0</v>
      </c>
      <c r="F723">
        <v>0</v>
      </c>
      <c r="G723">
        <v>365.34750000000003</v>
      </c>
      <c r="I723">
        <f t="shared" si="44"/>
        <v>0.26340975432619773</v>
      </c>
      <c r="J723">
        <f t="shared" si="45"/>
        <v>0</v>
      </c>
      <c r="K723">
        <f t="shared" si="46"/>
        <v>0</v>
      </c>
      <c r="L723">
        <f t="shared" si="47"/>
        <v>0</v>
      </c>
    </row>
    <row r="724" spans="1:12" x14ac:dyDescent="0.35">
      <c r="A724" s="1" t="s">
        <v>60</v>
      </c>
      <c r="B724">
        <v>0.41782827500000003</v>
      </c>
      <c r="C724">
        <v>4.1392E-3</v>
      </c>
      <c r="D724">
        <v>0</v>
      </c>
      <c r="E724">
        <v>0</v>
      </c>
      <c r="F724">
        <v>0</v>
      </c>
      <c r="G724">
        <v>365.76533000000001</v>
      </c>
      <c r="I724">
        <f t="shared" si="44"/>
        <v>0.19826640470947862</v>
      </c>
      <c r="J724">
        <f t="shared" si="45"/>
        <v>0</v>
      </c>
      <c r="K724">
        <f t="shared" si="46"/>
        <v>0</v>
      </c>
      <c r="L724">
        <f t="shared" si="47"/>
        <v>0</v>
      </c>
    </row>
    <row r="725" spans="1:12" x14ac:dyDescent="0.35">
      <c r="A725" s="1" t="s">
        <v>61</v>
      </c>
      <c r="B725">
        <v>0.41782808399999999</v>
      </c>
      <c r="C725">
        <v>3.2192000000000002E-3</v>
      </c>
      <c r="D725">
        <v>0</v>
      </c>
      <c r="E725">
        <v>0</v>
      </c>
      <c r="F725">
        <v>0</v>
      </c>
      <c r="G725">
        <v>366.18315999999999</v>
      </c>
      <c r="I725">
        <f t="shared" si="44"/>
        <v>0.15419875865034546</v>
      </c>
      <c r="J725">
        <f t="shared" si="45"/>
        <v>0</v>
      </c>
      <c r="K725">
        <f t="shared" si="46"/>
        <v>0</v>
      </c>
      <c r="L725">
        <f t="shared" si="47"/>
        <v>0</v>
      </c>
    </row>
    <row r="726" spans="1:12" x14ac:dyDescent="0.35">
      <c r="A726" s="1" t="s">
        <v>62</v>
      </c>
      <c r="B726">
        <v>0.41782794400000001</v>
      </c>
      <c r="C726">
        <v>2.3392E-3</v>
      </c>
      <c r="D726">
        <v>0</v>
      </c>
      <c r="E726">
        <v>0</v>
      </c>
      <c r="F726">
        <v>0</v>
      </c>
      <c r="G726">
        <v>366.60099000000002</v>
      </c>
      <c r="I726">
        <f t="shared" si="44"/>
        <v>0.11204704805350077</v>
      </c>
      <c r="J726">
        <f t="shared" si="45"/>
        <v>0</v>
      </c>
      <c r="K726">
        <f t="shared" si="46"/>
        <v>0</v>
      </c>
      <c r="L726">
        <f t="shared" si="47"/>
        <v>0</v>
      </c>
    </row>
    <row r="727" spans="1:12" x14ac:dyDescent="0.35">
      <c r="A727" s="1" t="s">
        <v>63</v>
      </c>
      <c r="B727">
        <v>0.21199999999999999</v>
      </c>
      <c r="C727">
        <v>0</v>
      </c>
      <c r="D727">
        <v>-2.3709669899999999</v>
      </c>
      <c r="E727">
        <v>0</v>
      </c>
      <c r="F727">
        <v>0</v>
      </c>
      <c r="G727">
        <v>366.85998999999998</v>
      </c>
      <c r="I727">
        <f t="shared" si="44"/>
        <v>0</v>
      </c>
      <c r="J727">
        <f t="shared" si="45"/>
        <v>-47.452167353748784</v>
      </c>
      <c r="K727">
        <f t="shared" si="46"/>
        <v>0</v>
      </c>
      <c r="L727">
        <f t="shared" si="47"/>
        <v>0</v>
      </c>
    </row>
    <row r="728" spans="1:12" x14ac:dyDescent="0.35">
      <c r="A728" s="1" t="s">
        <v>64</v>
      </c>
      <c r="B728">
        <v>0.16600000000000001</v>
      </c>
      <c r="C728">
        <v>0</v>
      </c>
      <c r="D728">
        <v>0</v>
      </c>
      <c r="E728">
        <v>-132.861086</v>
      </c>
      <c r="F728">
        <v>0</v>
      </c>
      <c r="G728">
        <v>367.10099000000002</v>
      </c>
      <c r="I728">
        <f t="shared" si="44"/>
        <v>0</v>
      </c>
      <c r="J728">
        <f t="shared" si="45"/>
        <v>0</v>
      </c>
      <c r="K728">
        <f t="shared" si="46"/>
        <v>-2659.0612666744933</v>
      </c>
      <c r="L728">
        <f t="shared" si="47"/>
        <v>0</v>
      </c>
    </row>
    <row r="729" spans="1:12" x14ac:dyDescent="0.35">
      <c r="A729" s="1" t="s">
        <v>65</v>
      </c>
      <c r="B729">
        <v>0.21199999999999999</v>
      </c>
      <c r="C729">
        <v>0</v>
      </c>
      <c r="D729">
        <v>2.47240752</v>
      </c>
      <c r="E729">
        <v>0</v>
      </c>
      <c r="F729">
        <v>0</v>
      </c>
      <c r="G729">
        <v>367.91383999999999</v>
      </c>
      <c r="I729">
        <f t="shared" si="44"/>
        <v>0</v>
      </c>
      <c r="J729">
        <f t="shared" si="45"/>
        <v>49.48238246273813</v>
      </c>
      <c r="K729">
        <f t="shared" si="46"/>
        <v>0</v>
      </c>
      <c r="L729">
        <f t="shared" si="47"/>
        <v>0</v>
      </c>
    </row>
    <row r="730" spans="1:12" x14ac:dyDescent="0.35">
      <c r="A730" s="1" t="s">
        <v>66</v>
      </c>
      <c r="B730">
        <v>0.1</v>
      </c>
      <c r="C730">
        <v>0</v>
      </c>
      <c r="D730">
        <v>0</v>
      </c>
      <c r="E730">
        <v>172.62799999999999</v>
      </c>
      <c r="F730">
        <v>0</v>
      </c>
      <c r="G730">
        <v>368.08884</v>
      </c>
      <c r="I730">
        <f t="shared" si="44"/>
        <v>0</v>
      </c>
      <c r="J730">
        <f t="shared" si="45"/>
        <v>0</v>
      </c>
      <c r="K730">
        <f t="shared" si="46"/>
        <v>3454.9501450220296</v>
      </c>
      <c r="L730">
        <f t="shared" si="47"/>
        <v>0</v>
      </c>
    </row>
    <row r="731" spans="1:12" x14ac:dyDescent="0.35">
      <c r="A731" s="1" t="s">
        <v>66</v>
      </c>
      <c r="B731">
        <v>0.1</v>
      </c>
      <c r="C731">
        <v>0</v>
      </c>
      <c r="D731">
        <v>0</v>
      </c>
      <c r="E731">
        <v>172.62799999999999</v>
      </c>
      <c r="F731">
        <v>0</v>
      </c>
      <c r="G731">
        <f>368.08884+0.1</f>
        <v>368.18884000000003</v>
      </c>
      <c r="I731">
        <f t="shared" si="44"/>
        <v>0</v>
      </c>
      <c r="J731">
        <f t="shared" si="45"/>
        <v>0</v>
      </c>
      <c r="K731">
        <f t="shared" si="46"/>
        <v>3454.9501450220296</v>
      </c>
      <c r="L731">
        <f t="shared" si="47"/>
        <v>0</v>
      </c>
    </row>
    <row r="732" spans="1:12" x14ac:dyDescent="0.35">
      <c r="A732" s="1" t="s">
        <v>67</v>
      </c>
      <c r="B732">
        <v>0.21199999999999999</v>
      </c>
      <c r="C732">
        <v>0</v>
      </c>
      <c r="D732">
        <v>2.47240752</v>
      </c>
      <c r="E732">
        <v>0</v>
      </c>
      <c r="F732">
        <v>0</v>
      </c>
      <c r="G732">
        <v>368.47584000000001</v>
      </c>
      <c r="I732">
        <f t="shared" si="44"/>
        <v>0</v>
      </c>
      <c r="J732">
        <f t="shared" si="45"/>
        <v>49.48238246273813</v>
      </c>
      <c r="K732">
        <f t="shared" si="46"/>
        <v>0</v>
      </c>
      <c r="L732">
        <f t="shared" si="47"/>
        <v>0</v>
      </c>
    </row>
    <row r="733" spans="1:12" x14ac:dyDescent="0.35">
      <c r="A733" s="1" t="s">
        <v>68</v>
      </c>
      <c r="B733">
        <v>0.09</v>
      </c>
      <c r="C733">
        <v>0</v>
      </c>
      <c r="D733">
        <v>0</v>
      </c>
      <c r="E733">
        <v>0</v>
      </c>
      <c r="F733">
        <v>-13632</v>
      </c>
      <c r="G733">
        <v>368.62583999999998</v>
      </c>
      <c r="I733">
        <f t="shared" si="44"/>
        <v>0</v>
      </c>
      <c r="J733">
        <f t="shared" si="45"/>
        <v>0</v>
      </c>
      <c r="K733">
        <f t="shared" si="46"/>
        <v>0</v>
      </c>
      <c r="L733">
        <f t="shared" si="47"/>
        <v>-272828.74375501258</v>
      </c>
    </row>
    <row r="734" spans="1:12" x14ac:dyDescent="0.35">
      <c r="A734" s="1" t="s">
        <v>69</v>
      </c>
      <c r="B734">
        <v>0.16600000000000001</v>
      </c>
      <c r="C734">
        <v>0</v>
      </c>
      <c r="D734">
        <v>0</v>
      </c>
      <c r="E734">
        <v>-202.23429300000001</v>
      </c>
      <c r="F734">
        <v>0</v>
      </c>
      <c r="G734">
        <v>369.24268999999998</v>
      </c>
      <c r="I734">
        <f t="shared" si="44"/>
        <v>0</v>
      </c>
      <c r="J734">
        <f t="shared" si="45"/>
        <v>0</v>
      </c>
      <c r="K734">
        <f t="shared" si="46"/>
        <v>-4047.4859230760812</v>
      </c>
      <c r="L734">
        <f t="shared" si="47"/>
        <v>0</v>
      </c>
    </row>
    <row r="735" spans="1:12" x14ac:dyDescent="0.35">
      <c r="A735" s="1" t="s">
        <v>70</v>
      </c>
      <c r="B735">
        <v>0.21199999999999999</v>
      </c>
      <c r="C735">
        <v>0</v>
      </c>
      <c r="D735">
        <v>-2.53358734</v>
      </c>
      <c r="E735">
        <v>0</v>
      </c>
      <c r="F735">
        <v>0</v>
      </c>
      <c r="G735">
        <v>369.52969000000002</v>
      </c>
      <c r="I735">
        <f t="shared" si="44"/>
        <v>0</v>
      </c>
      <c r="J735">
        <f t="shared" si="45"/>
        <v>-50.706825936458621</v>
      </c>
      <c r="K735">
        <f t="shared" si="46"/>
        <v>0</v>
      </c>
      <c r="L735">
        <f t="shared" si="47"/>
        <v>0</v>
      </c>
    </row>
    <row r="736" spans="1:12" x14ac:dyDescent="0.35">
      <c r="A736" s="1" t="s">
        <v>20</v>
      </c>
      <c r="B736">
        <v>0.41782794400000001</v>
      </c>
      <c r="C736">
        <v>2.3392E-3</v>
      </c>
      <c r="D736">
        <v>0</v>
      </c>
      <c r="E736">
        <v>0</v>
      </c>
      <c r="F736">
        <v>0</v>
      </c>
      <c r="G736">
        <v>369.99452000000002</v>
      </c>
      <c r="I736">
        <f t="shared" si="44"/>
        <v>0.11204704805350077</v>
      </c>
      <c r="J736">
        <f t="shared" si="45"/>
        <v>0</v>
      </c>
      <c r="K736">
        <f t="shared" si="46"/>
        <v>0</v>
      </c>
      <c r="L736">
        <f t="shared" si="47"/>
        <v>0</v>
      </c>
    </row>
    <row r="737" spans="1:12" x14ac:dyDescent="0.35">
      <c r="A737" s="1" t="s">
        <v>21</v>
      </c>
      <c r="B737">
        <v>0.41782808399999999</v>
      </c>
      <c r="C737">
        <v>3.2192000000000002E-3</v>
      </c>
      <c r="D737">
        <v>0</v>
      </c>
      <c r="E737">
        <v>0</v>
      </c>
      <c r="F737">
        <v>0</v>
      </c>
      <c r="G737">
        <v>370.41235</v>
      </c>
      <c r="I737">
        <f t="shared" si="44"/>
        <v>0.15419875865034546</v>
      </c>
      <c r="J737">
        <f t="shared" si="45"/>
        <v>0</v>
      </c>
      <c r="K737">
        <f t="shared" si="46"/>
        <v>0</v>
      </c>
      <c r="L737">
        <f t="shared" si="47"/>
        <v>0</v>
      </c>
    </row>
    <row r="738" spans="1:12" x14ac:dyDescent="0.35">
      <c r="A738" s="1" t="s">
        <v>22</v>
      </c>
      <c r="B738">
        <v>0.41782827500000003</v>
      </c>
      <c r="C738">
        <v>4.1392E-3</v>
      </c>
      <c r="D738">
        <v>0</v>
      </c>
      <c r="E738">
        <v>0</v>
      </c>
      <c r="F738">
        <v>0</v>
      </c>
      <c r="G738">
        <v>370.83017999999998</v>
      </c>
      <c r="I738">
        <f t="shared" si="44"/>
        <v>0.19826640470947862</v>
      </c>
      <c r="J738">
        <f t="shared" si="45"/>
        <v>0</v>
      </c>
      <c r="K738">
        <f t="shared" si="46"/>
        <v>0</v>
      </c>
      <c r="L738">
        <f t="shared" si="47"/>
        <v>0</v>
      </c>
    </row>
    <row r="739" spans="1:12" x14ac:dyDescent="0.35">
      <c r="A739" s="1" t="s">
        <v>23</v>
      </c>
      <c r="B739">
        <v>0.41782864199999997</v>
      </c>
      <c r="C739">
        <v>5.4992000000000001E-3</v>
      </c>
      <c r="D739">
        <v>0</v>
      </c>
      <c r="E739">
        <v>0</v>
      </c>
      <c r="F739">
        <v>0</v>
      </c>
      <c r="G739">
        <v>371.24801000000002</v>
      </c>
      <c r="I739">
        <f t="shared" si="44"/>
        <v>0.26340975432619773</v>
      </c>
      <c r="J739">
        <f t="shared" si="45"/>
        <v>0</v>
      </c>
      <c r="K739">
        <f t="shared" si="46"/>
        <v>0</v>
      </c>
      <c r="L739">
        <f t="shared" si="47"/>
        <v>0</v>
      </c>
    </row>
    <row r="740" spans="1:12" x14ac:dyDescent="0.35">
      <c r="A740" s="1" t="s">
        <v>24</v>
      </c>
      <c r="B740">
        <v>0.41782941899999998</v>
      </c>
      <c r="C740">
        <v>7.6290999999999998E-3</v>
      </c>
      <c r="D740">
        <v>0</v>
      </c>
      <c r="E740">
        <v>0</v>
      </c>
      <c r="F740">
        <v>0</v>
      </c>
      <c r="G740">
        <v>371.66584</v>
      </c>
      <c r="I740">
        <f t="shared" si="44"/>
        <v>0.36543053893202671</v>
      </c>
      <c r="J740">
        <f t="shared" si="45"/>
        <v>0</v>
      </c>
      <c r="K740">
        <f t="shared" si="46"/>
        <v>0</v>
      </c>
      <c r="L740">
        <f t="shared" si="47"/>
        <v>0</v>
      </c>
    </row>
    <row r="741" spans="1:12" x14ac:dyDescent="0.35">
      <c r="A741" s="1" t="s">
        <v>71</v>
      </c>
      <c r="B741">
        <v>0.3745</v>
      </c>
      <c r="C741">
        <v>0</v>
      </c>
      <c r="D741">
        <v>4.5116622</v>
      </c>
      <c r="E741">
        <v>0</v>
      </c>
      <c r="F741">
        <v>0</v>
      </c>
      <c r="G741">
        <v>372.19033999999999</v>
      </c>
      <c r="I741">
        <f t="shared" si="44"/>
        <v>0</v>
      </c>
      <c r="J741">
        <f t="shared" si="45"/>
        <v>90.29571084748946</v>
      </c>
      <c r="K741">
        <f t="shared" si="46"/>
        <v>0</v>
      </c>
      <c r="L741">
        <f t="shared" si="47"/>
        <v>0</v>
      </c>
    </row>
    <row r="742" spans="1:12" x14ac:dyDescent="0.35">
      <c r="A742" s="1" t="s">
        <v>72</v>
      </c>
      <c r="B742">
        <v>1.0280365199999999</v>
      </c>
      <c r="C742">
        <v>2.4767999999999998E-2</v>
      </c>
      <c r="D742">
        <v>-1.929</v>
      </c>
      <c r="E742">
        <v>0</v>
      </c>
      <c r="F742">
        <v>0</v>
      </c>
      <c r="G742">
        <v>373.30837000000002</v>
      </c>
      <c r="I742">
        <f t="shared" si="44"/>
        <v>0.48218416286837618</v>
      </c>
      <c r="J742">
        <f t="shared" si="45"/>
        <v>-38.606708238220314</v>
      </c>
      <c r="K742">
        <f t="shared" si="46"/>
        <v>0</v>
      </c>
      <c r="L742">
        <f t="shared" si="47"/>
        <v>0</v>
      </c>
    </row>
    <row r="743" spans="1:12" x14ac:dyDescent="0.35">
      <c r="A743" s="1" t="s">
        <v>73</v>
      </c>
      <c r="B743">
        <v>0.4975</v>
      </c>
      <c r="C743">
        <v>0</v>
      </c>
      <c r="D743">
        <v>4.61414189</v>
      </c>
      <c r="E743">
        <v>0</v>
      </c>
      <c r="F743">
        <v>0</v>
      </c>
      <c r="G743">
        <v>373.89587</v>
      </c>
      <c r="I743">
        <f t="shared" si="44"/>
        <v>0</v>
      </c>
      <c r="J743">
        <f t="shared" si="45"/>
        <v>92.346723544313335</v>
      </c>
      <c r="K743">
        <f t="shared" si="46"/>
        <v>0</v>
      </c>
      <c r="L743">
        <f t="shared" si="47"/>
        <v>0</v>
      </c>
    </row>
    <row r="744" spans="1:12" x14ac:dyDescent="0.35">
      <c r="A744" s="1" t="s">
        <v>28</v>
      </c>
      <c r="B744">
        <v>0.1</v>
      </c>
      <c r="C744">
        <v>0</v>
      </c>
      <c r="D744">
        <v>0</v>
      </c>
      <c r="E744">
        <v>0</v>
      </c>
      <c r="F744">
        <v>0</v>
      </c>
      <c r="G744">
        <v>374.06693999999999</v>
      </c>
      <c r="I744">
        <f t="shared" si="44"/>
        <v>0</v>
      </c>
      <c r="J744">
        <f t="shared" si="45"/>
        <v>0</v>
      </c>
      <c r="K744">
        <f t="shared" si="46"/>
        <v>0</v>
      </c>
      <c r="L744">
        <f t="shared" si="47"/>
        <v>0</v>
      </c>
    </row>
    <row r="745" spans="1:12" x14ac:dyDescent="0.35">
      <c r="A745" s="1" t="s">
        <v>74</v>
      </c>
      <c r="B745">
        <v>0.40000102700000001</v>
      </c>
      <c r="C745">
        <v>5.2300999999999997E-3</v>
      </c>
      <c r="D745">
        <v>-1.5815999999999999</v>
      </c>
      <c r="E745">
        <v>0</v>
      </c>
      <c r="F745">
        <v>0</v>
      </c>
      <c r="G745">
        <v>374.55993999999998</v>
      </c>
      <c r="I745">
        <f t="shared" si="44"/>
        <v>0.26168536331815889</v>
      </c>
      <c r="J745">
        <f t="shared" si="45"/>
        <v>-31.653898263125576</v>
      </c>
      <c r="K745">
        <f t="shared" si="46"/>
        <v>0</v>
      </c>
      <c r="L745">
        <f t="shared" si="47"/>
        <v>0</v>
      </c>
    </row>
    <row r="746" spans="1:12" x14ac:dyDescent="0.35">
      <c r="A746" s="1" t="s">
        <v>30</v>
      </c>
      <c r="B746">
        <v>2.44294E-2</v>
      </c>
      <c r="C746">
        <v>1.0499000000000001E-3</v>
      </c>
      <c r="D746">
        <v>0</v>
      </c>
      <c r="E746">
        <v>0</v>
      </c>
      <c r="F746">
        <v>0</v>
      </c>
      <c r="G746">
        <v>374.65487000000002</v>
      </c>
      <c r="I746">
        <f t="shared" si="44"/>
        <v>0.8601331402616047</v>
      </c>
      <c r="J746">
        <f t="shared" si="45"/>
        <v>0</v>
      </c>
      <c r="K746">
        <f t="shared" si="46"/>
        <v>0</v>
      </c>
      <c r="L746">
        <f t="shared" si="47"/>
        <v>0</v>
      </c>
    </row>
    <row r="747" spans="1:12" x14ac:dyDescent="0.35">
      <c r="A747" s="1" t="s">
        <v>30</v>
      </c>
      <c r="B747">
        <v>2.44294E-2</v>
      </c>
      <c r="C747">
        <v>1.0499000000000001E-3</v>
      </c>
      <c r="D747">
        <v>0</v>
      </c>
      <c r="E747">
        <v>0</v>
      </c>
      <c r="F747">
        <v>0</v>
      </c>
      <c r="G747">
        <f>374.65487+0.0244294</f>
        <v>374.67929939999999</v>
      </c>
      <c r="I747">
        <f t="shared" si="44"/>
        <v>0.8601331402616047</v>
      </c>
      <c r="J747">
        <f t="shared" si="45"/>
        <v>0</v>
      </c>
      <c r="K747">
        <f t="shared" si="46"/>
        <v>0</v>
      </c>
      <c r="L747">
        <f t="shared" si="47"/>
        <v>0</v>
      </c>
    </row>
    <row r="748" spans="1:12" x14ac:dyDescent="0.35">
      <c r="A748" s="1" t="s">
        <v>75</v>
      </c>
      <c r="B748">
        <v>0.40000102700000001</v>
      </c>
      <c r="C748">
        <v>5.2300999999999997E-3</v>
      </c>
      <c r="D748">
        <v>-1.5815999999999999</v>
      </c>
      <c r="E748">
        <v>0</v>
      </c>
      <c r="F748">
        <v>0</v>
      </c>
      <c r="G748">
        <v>375.14980000000003</v>
      </c>
      <c r="I748">
        <f t="shared" si="44"/>
        <v>0.26168536331815889</v>
      </c>
      <c r="J748">
        <f t="shared" si="45"/>
        <v>-31.653898263125576</v>
      </c>
      <c r="K748">
        <f t="shared" si="46"/>
        <v>0</v>
      </c>
      <c r="L748">
        <f t="shared" si="47"/>
        <v>0</v>
      </c>
    </row>
    <row r="749" spans="1:12" x14ac:dyDescent="0.35">
      <c r="A749" s="1" t="s">
        <v>76</v>
      </c>
      <c r="B749">
        <v>0.4975</v>
      </c>
      <c r="C749">
        <v>0</v>
      </c>
      <c r="D749">
        <v>4.61414189</v>
      </c>
      <c r="E749">
        <v>0</v>
      </c>
      <c r="F749">
        <v>0</v>
      </c>
      <c r="G749">
        <v>375.91136999999998</v>
      </c>
      <c r="I749">
        <f t="shared" si="44"/>
        <v>0</v>
      </c>
      <c r="J749">
        <f t="shared" si="45"/>
        <v>92.346723544313335</v>
      </c>
      <c r="K749">
        <f t="shared" si="46"/>
        <v>0</v>
      </c>
      <c r="L749">
        <f t="shared" si="47"/>
        <v>0</v>
      </c>
    </row>
    <row r="750" spans="1:12" x14ac:dyDescent="0.35">
      <c r="A750" s="1" t="s">
        <v>77</v>
      </c>
      <c r="B750">
        <v>1.0280365199999999</v>
      </c>
      <c r="C750">
        <v>2.4767999999999998E-2</v>
      </c>
      <c r="D750">
        <v>-1.929</v>
      </c>
      <c r="E750">
        <v>0</v>
      </c>
      <c r="F750">
        <v>0</v>
      </c>
      <c r="G750">
        <v>377.02940999999998</v>
      </c>
      <c r="I750">
        <f t="shared" si="44"/>
        <v>0.48218416286837618</v>
      </c>
      <c r="J750">
        <f t="shared" si="45"/>
        <v>-38.606708238220314</v>
      </c>
      <c r="K750">
        <f t="shared" si="46"/>
        <v>0</v>
      </c>
      <c r="L750">
        <f t="shared" si="47"/>
        <v>0</v>
      </c>
    </row>
    <row r="751" spans="1:12" x14ac:dyDescent="0.35">
      <c r="A751" s="1" t="s">
        <v>78</v>
      </c>
      <c r="B751">
        <v>0.3745</v>
      </c>
      <c r="C751">
        <v>0</v>
      </c>
      <c r="D751">
        <v>4.5116622</v>
      </c>
      <c r="E751">
        <v>0</v>
      </c>
      <c r="F751">
        <v>0</v>
      </c>
      <c r="G751">
        <v>377.49391000000003</v>
      </c>
      <c r="I751">
        <f t="shared" si="44"/>
        <v>0</v>
      </c>
      <c r="J751">
        <f t="shared" si="45"/>
        <v>90.29571084748946</v>
      </c>
      <c r="K751">
        <f t="shared" si="46"/>
        <v>0</v>
      </c>
      <c r="L751">
        <f t="shared" si="47"/>
        <v>0</v>
      </c>
    </row>
    <row r="752" spans="1:12" x14ac:dyDescent="0.35">
      <c r="A752" s="1" t="s">
        <v>35</v>
      </c>
      <c r="B752">
        <v>0.41782941899999998</v>
      </c>
      <c r="C752">
        <v>7.6290999999999998E-3</v>
      </c>
      <c r="D752">
        <v>0</v>
      </c>
      <c r="E752">
        <v>0</v>
      </c>
      <c r="F752">
        <v>0</v>
      </c>
      <c r="G752">
        <v>378.06173999999999</v>
      </c>
      <c r="I752">
        <f t="shared" si="44"/>
        <v>0.36543053893202671</v>
      </c>
      <c r="J752">
        <f t="shared" si="45"/>
        <v>0</v>
      </c>
      <c r="K752">
        <f t="shared" si="46"/>
        <v>0</v>
      </c>
      <c r="L752">
        <f t="shared" si="47"/>
        <v>0</v>
      </c>
    </row>
    <row r="753" spans="1:12" x14ac:dyDescent="0.35">
      <c r="A753" s="1" t="s">
        <v>36</v>
      </c>
      <c r="B753">
        <v>0.41782864199999997</v>
      </c>
      <c r="C753">
        <v>5.4992000000000001E-3</v>
      </c>
      <c r="D753">
        <v>0</v>
      </c>
      <c r="E753">
        <v>0</v>
      </c>
      <c r="F753">
        <v>0</v>
      </c>
      <c r="G753">
        <v>378.47957000000002</v>
      </c>
      <c r="I753">
        <f t="shared" si="44"/>
        <v>0.26340975432619773</v>
      </c>
      <c r="J753">
        <f t="shared" si="45"/>
        <v>0</v>
      </c>
      <c r="K753">
        <f t="shared" si="46"/>
        <v>0</v>
      </c>
      <c r="L753">
        <f t="shared" si="47"/>
        <v>0</v>
      </c>
    </row>
    <row r="754" spans="1:12" x14ac:dyDescent="0.35">
      <c r="A754" s="1" t="s">
        <v>37</v>
      </c>
      <c r="B754">
        <v>0.41782827500000003</v>
      </c>
      <c r="C754">
        <v>4.1392E-3</v>
      </c>
      <c r="D754">
        <v>0</v>
      </c>
      <c r="E754">
        <v>0</v>
      </c>
      <c r="F754">
        <v>0</v>
      </c>
      <c r="G754">
        <v>378.8974</v>
      </c>
      <c r="I754">
        <f t="shared" si="44"/>
        <v>0.19826640470947862</v>
      </c>
      <c r="J754">
        <f t="shared" si="45"/>
        <v>0</v>
      </c>
      <c r="K754">
        <f t="shared" si="46"/>
        <v>0</v>
      </c>
      <c r="L754">
        <f t="shared" si="47"/>
        <v>0</v>
      </c>
    </row>
    <row r="755" spans="1:12" x14ac:dyDescent="0.35">
      <c r="A755" s="1" t="s">
        <v>38</v>
      </c>
      <c r="B755">
        <v>0.41782808399999999</v>
      </c>
      <c r="C755">
        <v>3.2192000000000002E-3</v>
      </c>
      <c r="D755">
        <v>0</v>
      </c>
      <c r="E755">
        <v>0</v>
      </c>
      <c r="F755">
        <v>0</v>
      </c>
      <c r="G755">
        <v>379.31522999999999</v>
      </c>
      <c r="I755">
        <f t="shared" si="44"/>
        <v>0.15419875865034546</v>
      </c>
      <c r="J755">
        <f t="shared" si="45"/>
        <v>0</v>
      </c>
      <c r="K755">
        <f t="shared" si="46"/>
        <v>0</v>
      </c>
      <c r="L755">
        <f t="shared" si="47"/>
        <v>0</v>
      </c>
    </row>
    <row r="756" spans="1:12" x14ac:dyDescent="0.35">
      <c r="A756" s="1" t="s">
        <v>39</v>
      </c>
      <c r="B756">
        <v>0.41782794400000001</v>
      </c>
      <c r="C756">
        <v>2.3392E-3</v>
      </c>
      <c r="D756">
        <v>0</v>
      </c>
      <c r="E756">
        <v>0</v>
      </c>
      <c r="F756">
        <v>0</v>
      </c>
      <c r="G756">
        <v>379.73304999999999</v>
      </c>
      <c r="I756">
        <f t="shared" si="44"/>
        <v>0.11204704805350077</v>
      </c>
      <c r="J756">
        <f t="shared" si="45"/>
        <v>0</v>
      </c>
      <c r="K756">
        <f t="shared" si="46"/>
        <v>0</v>
      </c>
      <c r="L756">
        <f t="shared" si="47"/>
        <v>0</v>
      </c>
    </row>
    <row r="757" spans="1:12" x14ac:dyDescent="0.35">
      <c r="A757" s="1" t="s">
        <v>79</v>
      </c>
      <c r="B757">
        <v>0.21199999999999999</v>
      </c>
      <c r="C757">
        <v>0</v>
      </c>
      <c r="D757">
        <v>-2.53358734</v>
      </c>
      <c r="E757">
        <v>0</v>
      </c>
      <c r="F757">
        <v>0</v>
      </c>
      <c r="G757">
        <v>379.99205000000001</v>
      </c>
      <c r="I757">
        <f t="shared" si="44"/>
        <v>0</v>
      </c>
      <c r="J757">
        <f t="shared" si="45"/>
        <v>-50.706825936458621</v>
      </c>
      <c r="K757">
        <f t="shared" si="46"/>
        <v>0</v>
      </c>
      <c r="L757">
        <f t="shared" si="47"/>
        <v>0</v>
      </c>
    </row>
    <row r="758" spans="1:12" x14ac:dyDescent="0.35">
      <c r="A758" s="1" t="s">
        <v>80</v>
      </c>
      <c r="B758">
        <v>0.16600000000000001</v>
      </c>
      <c r="C758">
        <v>0</v>
      </c>
      <c r="D758">
        <v>0</v>
      </c>
      <c r="E758">
        <v>-202.23429300000001</v>
      </c>
      <c r="F758">
        <v>0</v>
      </c>
      <c r="G758">
        <v>380.23304999999999</v>
      </c>
      <c r="I758">
        <f t="shared" si="44"/>
        <v>0</v>
      </c>
      <c r="J758">
        <f t="shared" si="45"/>
        <v>0</v>
      </c>
      <c r="K758">
        <f t="shared" si="46"/>
        <v>-4047.4859230760812</v>
      </c>
      <c r="L758">
        <f t="shared" si="47"/>
        <v>0</v>
      </c>
    </row>
    <row r="759" spans="1:12" x14ac:dyDescent="0.35">
      <c r="A759" s="1" t="s">
        <v>81</v>
      </c>
      <c r="B759">
        <v>0.09</v>
      </c>
      <c r="C759">
        <v>0</v>
      </c>
      <c r="D759">
        <v>0</v>
      </c>
      <c r="E759">
        <v>0</v>
      </c>
      <c r="F759">
        <v>-13632</v>
      </c>
      <c r="G759">
        <v>380.77391</v>
      </c>
      <c r="I759">
        <f t="shared" si="44"/>
        <v>0</v>
      </c>
      <c r="J759">
        <f t="shared" si="45"/>
        <v>0</v>
      </c>
      <c r="K759">
        <f t="shared" si="46"/>
        <v>0</v>
      </c>
      <c r="L759">
        <f t="shared" si="47"/>
        <v>-272828.74375501258</v>
      </c>
    </row>
    <row r="760" spans="1:12" x14ac:dyDescent="0.35">
      <c r="A760" s="1" t="s">
        <v>82</v>
      </c>
      <c r="B760">
        <v>0.21199999999999999</v>
      </c>
      <c r="C760">
        <v>0</v>
      </c>
      <c r="D760">
        <v>2.47240752</v>
      </c>
      <c r="E760">
        <v>0</v>
      </c>
      <c r="F760">
        <v>0</v>
      </c>
      <c r="G760">
        <v>381.04590999999999</v>
      </c>
      <c r="I760">
        <f t="shared" si="44"/>
        <v>0</v>
      </c>
      <c r="J760">
        <f t="shared" si="45"/>
        <v>49.48238246273813</v>
      </c>
      <c r="K760">
        <f t="shared" si="46"/>
        <v>0</v>
      </c>
      <c r="L760">
        <f t="shared" si="47"/>
        <v>0</v>
      </c>
    </row>
    <row r="761" spans="1:12" x14ac:dyDescent="0.35">
      <c r="A761" s="1" t="s">
        <v>83</v>
      </c>
      <c r="B761">
        <v>0.1</v>
      </c>
      <c r="C761">
        <v>0</v>
      </c>
      <c r="D761">
        <v>0</v>
      </c>
      <c r="E761">
        <v>172.62799999999999</v>
      </c>
      <c r="F761">
        <v>0</v>
      </c>
      <c r="G761">
        <v>381.22091</v>
      </c>
      <c r="I761">
        <f t="shared" si="44"/>
        <v>0</v>
      </c>
      <c r="J761">
        <f t="shared" si="45"/>
        <v>0</v>
      </c>
      <c r="K761">
        <f t="shared" si="46"/>
        <v>3454.9501450220296</v>
      </c>
      <c r="L761">
        <f t="shared" si="47"/>
        <v>0</v>
      </c>
    </row>
    <row r="762" spans="1:12" x14ac:dyDescent="0.35">
      <c r="A762" s="1" t="s">
        <v>83</v>
      </c>
      <c r="B762">
        <v>0.1</v>
      </c>
      <c r="C762">
        <v>0</v>
      </c>
      <c r="D762">
        <v>0</v>
      </c>
      <c r="E762">
        <v>172.62799999999999</v>
      </c>
      <c r="F762">
        <v>0</v>
      </c>
      <c r="G762">
        <f>0.1+381.22091</f>
        <v>381.32091000000003</v>
      </c>
      <c r="I762">
        <f t="shared" si="44"/>
        <v>0</v>
      </c>
      <c r="J762">
        <f t="shared" si="45"/>
        <v>0</v>
      </c>
      <c r="K762">
        <f t="shared" si="46"/>
        <v>3454.9501450220296</v>
      </c>
      <c r="L762">
        <f t="shared" si="47"/>
        <v>0</v>
      </c>
    </row>
    <row r="763" spans="1:12" x14ac:dyDescent="0.35">
      <c r="A763" s="1" t="s">
        <v>84</v>
      </c>
      <c r="B763">
        <v>0.21199999999999999</v>
      </c>
      <c r="C763">
        <v>0</v>
      </c>
      <c r="D763">
        <v>2.47240752</v>
      </c>
      <c r="E763">
        <v>0</v>
      </c>
      <c r="F763">
        <v>0</v>
      </c>
      <c r="G763">
        <v>381.60791</v>
      </c>
      <c r="I763">
        <f t="shared" si="44"/>
        <v>0</v>
      </c>
      <c r="J763">
        <f t="shared" si="45"/>
        <v>49.48238246273813</v>
      </c>
      <c r="K763">
        <f t="shared" si="46"/>
        <v>0</v>
      </c>
      <c r="L763">
        <f t="shared" si="47"/>
        <v>0</v>
      </c>
    </row>
    <row r="764" spans="1:12" x14ac:dyDescent="0.35">
      <c r="A764" s="1" t="s">
        <v>85</v>
      </c>
      <c r="B764">
        <v>0.16600000000000001</v>
      </c>
      <c r="C764">
        <v>0</v>
      </c>
      <c r="D764">
        <v>0</v>
      </c>
      <c r="E764">
        <v>-132.861086</v>
      </c>
      <c r="F764">
        <v>0</v>
      </c>
      <c r="G764">
        <v>382.37475999999998</v>
      </c>
      <c r="I764">
        <f t="shared" si="44"/>
        <v>0</v>
      </c>
      <c r="J764">
        <f t="shared" si="45"/>
        <v>0</v>
      </c>
      <c r="K764">
        <f t="shared" si="46"/>
        <v>-2659.0612666744933</v>
      </c>
      <c r="L764">
        <f t="shared" si="47"/>
        <v>0</v>
      </c>
    </row>
    <row r="765" spans="1:12" x14ac:dyDescent="0.35">
      <c r="A765" s="1" t="s">
        <v>86</v>
      </c>
      <c r="B765">
        <v>0.21199999999999999</v>
      </c>
      <c r="C765">
        <v>0</v>
      </c>
      <c r="D765">
        <v>-2.3709669899999999</v>
      </c>
      <c r="E765">
        <v>0</v>
      </c>
      <c r="F765">
        <v>0</v>
      </c>
      <c r="G765">
        <v>382.66176000000002</v>
      </c>
      <c r="I765">
        <f t="shared" si="44"/>
        <v>0</v>
      </c>
      <c r="J765">
        <f t="shared" si="45"/>
        <v>-47.452167353748784</v>
      </c>
      <c r="K765">
        <f t="shared" si="46"/>
        <v>0</v>
      </c>
      <c r="L765">
        <f t="shared" si="47"/>
        <v>0</v>
      </c>
    </row>
    <row r="766" spans="1:12" x14ac:dyDescent="0.35">
      <c r="A766" s="1" t="s">
        <v>48</v>
      </c>
      <c r="B766">
        <v>0.41782794400000001</v>
      </c>
      <c r="C766">
        <v>2.3392E-3</v>
      </c>
      <c r="D766">
        <v>0</v>
      </c>
      <c r="E766">
        <v>0</v>
      </c>
      <c r="F766">
        <v>0</v>
      </c>
      <c r="G766">
        <v>383.12659000000002</v>
      </c>
      <c r="I766">
        <f t="shared" si="44"/>
        <v>0.11204704805350077</v>
      </c>
      <c r="J766">
        <f t="shared" si="45"/>
        <v>0</v>
      </c>
      <c r="K766">
        <f t="shared" si="46"/>
        <v>0</v>
      </c>
      <c r="L766">
        <f t="shared" si="47"/>
        <v>0</v>
      </c>
    </row>
    <row r="767" spans="1:12" x14ac:dyDescent="0.35">
      <c r="A767" s="1" t="s">
        <v>49</v>
      </c>
      <c r="B767">
        <v>0.41782808399999999</v>
      </c>
      <c r="C767">
        <v>3.2192000000000002E-3</v>
      </c>
      <c r="D767">
        <v>0</v>
      </c>
      <c r="E767">
        <v>0</v>
      </c>
      <c r="F767">
        <v>0</v>
      </c>
      <c r="G767">
        <v>383.54442</v>
      </c>
      <c r="I767">
        <f t="shared" si="44"/>
        <v>0.15419875865034546</v>
      </c>
      <c r="J767">
        <f t="shared" si="45"/>
        <v>0</v>
      </c>
      <c r="K767">
        <f t="shared" si="46"/>
        <v>0</v>
      </c>
      <c r="L767">
        <f t="shared" si="47"/>
        <v>0</v>
      </c>
    </row>
    <row r="768" spans="1:12" x14ac:dyDescent="0.35">
      <c r="A768" s="1" t="s">
        <v>50</v>
      </c>
      <c r="B768">
        <v>0.41782827500000003</v>
      </c>
      <c r="C768">
        <v>4.1392E-3</v>
      </c>
      <c r="D768">
        <v>0</v>
      </c>
      <c r="E768">
        <v>0</v>
      </c>
      <c r="F768">
        <v>0</v>
      </c>
      <c r="G768">
        <v>383.96224999999998</v>
      </c>
      <c r="I768">
        <f t="shared" si="44"/>
        <v>0.19826640470947862</v>
      </c>
      <c r="J768">
        <f t="shared" si="45"/>
        <v>0</v>
      </c>
      <c r="K768">
        <f t="shared" si="46"/>
        <v>0</v>
      </c>
      <c r="L768">
        <f t="shared" si="47"/>
        <v>0</v>
      </c>
    </row>
    <row r="769" spans="1:12" x14ac:dyDescent="0.35">
      <c r="A769" s="1" t="s">
        <v>51</v>
      </c>
      <c r="B769">
        <v>0.41782864199999997</v>
      </c>
      <c r="C769">
        <v>5.4992000000000001E-3</v>
      </c>
      <c r="D769">
        <v>0</v>
      </c>
      <c r="E769">
        <v>0</v>
      </c>
      <c r="F769">
        <v>0</v>
      </c>
      <c r="G769">
        <v>384.38006999999999</v>
      </c>
      <c r="I769">
        <f t="shared" si="44"/>
        <v>0.26340975432619773</v>
      </c>
      <c r="J769">
        <f t="shared" si="45"/>
        <v>0</v>
      </c>
      <c r="K769">
        <f t="shared" si="46"/>
        <v>0</v>
      </c>
      <c r="L769">
        <f t="shared" si="47"/>
        <v>0</v>
      </c>
    </row>
    <row r="770" spans="1:12" x14ac:dyDescent="0.35">
      <c r="A770" s="1" t="s">
        <v>52</v>
      </c>
      <c r="B770">
        <v>0.41783028900000002</v>
      </c>
      <c r="C770">
        <v>9.4690999999999994E-3</v>
      </c>
      <c r="D770">
        <v>0</v>
      </c>
      <c r="E770">
        <v>0</v>
      </c>
      <c r="F770">
        <v>0</v>
      </c>
      <c r="G770">
        <v>384.79790000000003</v>
      </c>
      <c r="I770">
        <f t="shared" si="44"/>
        <v>0.45356478630764774</v>
      </c>
      <c r="J770">
        <f t="shared" si="45"/>
        <v>0</v>
      </c>
      <c r="K770">
        <f t="shared" si="46"/>
        <v>0</v>
      </c>
      <c r="L770">
        <f t="shared" si="47"/>
        <v>0</v>
      </c>
    </row>
    <row r="771" spans="1:12" x14ac:dyDescent="0.35">
      <c r="A771" s="1" t="s">
        <v>87</v>
      </c>
      <c r="B771">
        <v>0.16200000000000001</v>
      </c>
      <c r="C771">
        <v>0</v>
      </c>
      <c r="D771">
        <v>-2.8698264299999998</v>
      </c>
      <c r="E771">
        <v>0</v>
      </c>
      <c r="F771">
        <v>0</v>
      </c>
      <c r="G771">
        <v>385.00689999999997</v>
      </c>
      <c r="I771">
        <f t="shared" si="44"/>
        <v>0</v>
      </c>
      <c r="J771">
        <f t="shared" si="45"/>
        <v>-57.436263181619168</v>
      </c>
      <c r="K771">
        <f t="shared" si="46"/>
        <v>0</v>
      </c>
      <c r="L771">
        <f t="shared" si="47"/>
        <v>0</v>
      </c>
    </row>
    <row r="772" spans="1:12" x14ac:dyDescent="0.35">
      <c r="A772" s="1" t="s">
        <v>54</v>
      </c>
      <c r="B772">
        <v>0.1</v>
      </c>
      <c r="C772">
        <v>0</v>
      </c>
      <c r="D772">
        <v>0</v>
      </c>
      <c r="E772">
        <v>0</v>
      </c>
      <c r="F772">
        <v>0</v>
      </c>
      <c r="G772">
        <v>385.33690000000001</v>
      </c>
      <c r="I772">
        <f t="shared" ref="I772:I835" si="48">$H$2*$C772/$B772</f>
        <v>0</v>
      </c>
      <c r="J772">
        <f t="shared" ref="J772:J835" si="49">$H$2*$D772</f>
        <v>0</v>
      </c>
      <c r="K772">
        <f t="shared" ref="K772:K835" si="50">$H$2*$E772</f>
        <v>0</v>
      </c>
      <c r="L772">
        <f t="shared" ref="L772:L835" si="51">$H$2*$F772</f>
        <v>0</v>
      </c>
    </row>
    <row r="773" spans="1:12" x14ac:dyDescent="0.35">
      <c r="A773" s="1" t="s">
        <v>88</v>
      </c>
      <c r="B773">
        <v>0.29499999999999998</v>
      </c>
      <c r="C773">
        <v>0</v>
      </c>
      <c r="D773">
        <v>2.43875777</v>
      </c>
      <c r="E773">
        <v>0</v>
      </c>
      <c r="F773">
        <v>0</v>
      </c>
      <c r="G773">
        <v>385.74189999999999</v>
      </c>
      <c r="I773">
        <f t="shared" si="48"/>
        <v>0</v>
      </c>
      <c r="J773">
        <f t="shared" si="49"/>
        <v>48.808921560436907</v>
      </c>
      <c r="K773">
        <f t="shared" si="50"/>
        <v>0</v>
      </c>
      <c r="L773">
        <f t="shared" si="51"/>
        <v>0</v>
      </c>
    </row>
    <row r="774" spans="1:12" x14ac:dyDescent="0.35">
      <c r="A774" s="1" t="s">
        <v>56</v>
      </c>
      <c r="B774">
        <v>0.29499999999999998</v>
      </c>
      <c r="C774">
        <v>0</v>
      </c>
      <c r="D774">
        <v>2.43875777</v>
      </c>
      <c r="E774">
        <v>0</v>
      </c>
      <c r="F774">
        <v>0</v>
      </c>
      <c r="G774">
        <v>391.61506000000003</v>
      </c>
      <c r="I774">
        <f t="shared" si="48"/>
        <v>0</v>
      </c>
      <c r="J774">
        <f t="shared" si="49"/>
        <v>48.808921560436907</v>
      </c>
      <c r="K774">
        <f t="shared" si="50"/>
        <v>0</v>
      </c>
      <c r="L774">
        <f t="shared" si="51"/>
        <v>0</v>
      </c>
    </row>
    <row r="775" spans="1:12" x14ac:dyDescent="0.35">
      <c r="A775" s="1" t="s">
        <v>2</v>
      </c>
      <c r="B775">
        <v>0.1</v>
      </c>
      <c r="C775">
        <v>0</v>
      </c>
      <c r="D775">
        <v>0</v>
      </c>
      <c r="E775">
        <v>0</v>
      </c>
      <c r="F775">
        <v>0</v>
      </c>
      <c r="G775">
        <v>391.82506000000001</v>
      </c>
      <c r="I775">
        <f t="shared" si="48"/>
        <v>0</v>
      </c>
      <c r="J775">
        <f t="shared" si="49"/>
        <v>0</v>
      </c>
      <c r="K775">
        <f t="shared" si="50"/>
        <v>0</v>
      </c>
      <c r="L775">
        <f t="shared" si="51"/>
        <v>0</v>
      </c>
    </row>
    <row r="776" spans="1:12" x14ac:dyDescent="0.35">
      <c r="A776" s="1" t="s">
        <v>57</v>
      </c>
      <c r="B776">
        <v>0.16200000000000001</v>
      </c>
      <c r="C776">
        <v>0</v>
      </c>
      <c r="D776">
        <v>-2.8698264299999998</v>
      </c>
      <c r="E776">
        <v>0</v>
      </c>
      <c r="F776">
        <v>0</v>
      </c>
      <c r="G776">
        <v>392.21706</v>
      </c>
      <c r="I776">
        <f t="shared" si="48"/>
        <v>0</v>
      </c>
      <c r="J776">
        <f t="shared" si="49"/>
        <v>-57.436263181619168</v>
      </c>
      <c r="K776">
        <f t="shared" si="50"/>
        <v>0</v>
      </c>
      <c r="L776">
        <f t="shared" si="51"/>
        <v>0</v>
      </c>
    </row>
    <row r="777" spans="1:12" x14ac:dyDescent="0.35">
      <c r="A777" s="1" t="s">
        <v>58</v>
      </c>
      <c r="B777">
        <v>0.41783028900000002</v>
      </c>
      <c r="C777">
        <v>9.4690999999999994E-3</v>
      </c>
      <c r="D777">
        <v>0</v>
      </c>
      <c r="E777">
        <v>0</v>
      </c>
      <c r="F777">
        <v>0</v>
      </c>
      <c r="G777">
        <v>392.68189000000001</v>
      </c>
      <c r="I777">
        <f t="shared" si="48"/>
        <v>0.45356478630764774</v>
      </c>
      <c r="J777">
        <f t="shared" si="49"/>
        <v>0</v>
      </c>
      <c r="K777">
        <f t="shared" si="50"/>
        <v>0</v>
      </c>
      <c r="L777">
        <f t="shared" si="51"/>
        <v>0</v>
      </c>
    </row>
    <row r="778" spans="1:12" x14ac:dyDescent="0.35">
      <c r="A778" s="1" t="s">
        <v>59</v>
      </c>
      <c r="B778">
        <v>0.41782864199999997</v>
      </c>
      <c r="C778">
        <v>5.4992000000000001E-3</v>
      </c>
      <c r="D778">
        <v>0</v>
      </c>
      <c r="E778">
        <v>0</v>
      </c>
      <c r="F778">
        <v>0</v>
      </c>
      <c r="G778">
        <v>393.09971999999999</v>
      </c>
      <c r="I778">
        <f t="shared" si="48"/>
        <v>0.26340975432619773</v>
      </c>
      <c r="J778">
        <f t="shared" si="49"/>
        <v>0</v>
      </c>
      <c r="K778">
        <f t="shared" si="50"/>
        <v>0</v>
      </c>
      <c r="L778">
        <f t="shared" si="51"/>
        <v>0</v>
      </c>
    </row>
    <row r="779" spans="1:12" x14ac:dyDescent="0.35">
      <c r="A779" s="1" t="s">
        <v>60</v>
      </c>
      <c r="B779">
        <v>0.41782827500000003</v>
      </c>
      <c r="C779">
        <v>4.1392E-3</v>
      </c>
      <c r="D779">
        <v>0</v>
      </c>
      <c r="E779">
        <v>0</v>
      </c>
      <c r="F779">
        <v>0</v>
      </c>
      <c r="G779">
        <v>393.51754</v>
      </c>
      <c r="I779">
        <f t="shared" si="48"/>
        <v>0.19826640470947862</v>
      </c>
      <c r="J779">
        <f t="shared" si="49"/>
        <v>0</v>
      </c>
      <c r="K779">
        <f t="shared" si="50"/>
        <v>0</v>
      </c>
      <c r="L779">
        <f t="shared" si="51"/>
        <v>0</v>
      </c>
    </row>
    <row r="780" spans="1:12" x14ac:dyDescent="0.35">
      <c r="A780" s="1" t="s">
        <v>61</v>
      </c>
      <c r="B780">
        <v>0.41782808399999999</v>
      </c>
      <c r="C780">
        <v>3.2192000000000002E-3</v>
      </c>
      <c r="D780">
        <v>0</v>
      </c>
      <c r="E780">
        <v>0</v>
      </c>
      <c r="F780">
        <v>0</v>
      </c>
      <c r="G780">
        <v>393.93536999999998</v>
      </c>
      <c r="I780">
        <f t="shared" si="48"/>
        <v>0.15419875865034546</v>
      </c>
      <c r="J780">
        <f t="shared" si="49"/>
        <v>0</v>
      </c>
      <c r="K780">
        <f t="shared" si="50"/>
        <v>0</v>
      </c>
      <c r="L780">
        <f t="shared" si="51"/>
        <v>0</v>
      </c>
    </row>
    <row r="781" spans="1:12" x14ac:dyDescent="0.35">
      <c r="A781" s="1" t="s">
        <v>62</v>
      </c>
      <c r="B781">
        <v>0.41782794400000001</v>
      </c>
      <c r="C781">
        <v>2.3392E-3</v>
      </c>
      <c r="D781">
        <v>0</v>
      </c>
      <c r="E781">
        <v>0</v>
      </c>
      <c r="F781">
        <v>0</v>
      </c>
      <c r="G781">
        <v>394.35320000000002</v>
      </c>
      <c r="I781">
        <f t="shared" si="48"/>
        <v>0.11204704805350077</v>
      </c>
      <c r="J781">
        <f t="shared" si="49"/>
        <v>0</v>
      </c>
      <c r="K781">
        <f t="shared" si="50"/>
        <v>0</v>
      </c>
      <c r="L781">
        <f t="shared" si="51"/>
        <v>0</v>
      </c>
    </row>
    <row r="782" spans="1:12" x14ac:dyDescent="0.35">
      <c r="A782" s="1" t="s">
        <v>63</v>
      </c>
      <c r="B782">
        <v>0.21199999999999999</v>
      </c>
      <c r="C782">
        <v>0</v>
      </c>
      <c r="D782">
        <v>-2.3709669899999999</v>
      </c>
      <c r="E782">
        <v>0</v>
      </c>
      <c r="F782">
        <v>0</v>
      </c>
      <c r="G782">
        <v>394.61219999999997</v>
      </c>
      <c r="I782">
        <f t="shared" si="48"/>
        <v>0</v>
      </c>
      <c r="J782">
        <f t="shared" si="49"/>
        <v>-47.452167353748784</v>
      </c>
      <c r="K782">
        <f t="shared" si="50"/>
        <v>0</v>
      </c>
      <c r="L782">
        <f t="shared" si="51"/>
        <v>0</v>
      </c>
    </row>
    <row r="783" spans="1:12" x14ac:dyDescent="0.35">
      <c r="A783" s="1" t="s">
        <v>64</v>
      </c>
      <c r="B783">
        <v>0.16600000000000001</v>
      </c>
      <c r="C783">
        <v>0</v>
      </c>
      <c r="D783">
        <v>0</v>
      </c>
      <c r="E783">
        <v>-132.861086</v>
      </c>
      <c r="F783">
        <v>0</v>
      </c>
      <c r="G783">
        <v>394.85320000000002</v>
      </c>
      <c r="I783">
        <f t="shared" si="48"/>
        <v>0</v>
      </c>
      <c r="J783">
        <f t="shared" si="49"/>
        <v>0</v>
      </c>
      <c r="K783">
        <f t="shared" si="50"/>
        <v>-2659.0612666744933</v>
      </c>
      <c r="L783">
        <f t="shared" si="51"/>
        <v>0</v>
      </c>
    </row>
    <row r="784" spans="1:12" x14ac:dyDescent="0.35">
      <c r="A784" s="1" t="s">
        <v>65</v>
      </c>
      <c r="B784">
        <v>0.21199999999999999</v>
      </c>
      <c r="C784">
        <v>0</v>
      </c>
      <c r="D784">
        <v>2.47240752</v>
      </c>
      <c r="E784">
        <v>0</v>
      </c>
      <c r="F784">
        <v>0</v>
      </c>
      <c r="G784">
        <v>395.66604999999998</v>
      </c>
      <c r="I784">
        <f t="shared" si="48"/>
        <v>0</v>
      </c>
      <c r="J784">
        <f t="shared" si="49"/>
        <v>49.48238246273813</v>
      </c>
      <c r="K784">
        <f t="shared" si="50"/>
        <v>0</v>
      </c>
      <c r="L784">
        <f t="shared" si="51"/>
        <v>0</v>
      </c>
    </row>
    <row r="785" spans="1:12" x14ac:dyDescent="0.35">
      <c r="A785" s="1" t="s">
        <v>66</v>
      </c>
      <c r="B785">
        <v>0.1</v>
      </c>
      <c r="C785">
        <v>0</v>
      </c>
      <c r="D785">
        <v>0</v>
      </c>
      <c r="E785">
        <v>172.62799999999999</v>
      </c>
      <c r="F785">
        <v>0</v>
      </c>
      <c r="G785">
        <v>395.84105</v>
      </c>
      <c r="I785">
        <f t="shared" si="48"/>
        <v>0</v>
      </c>
      <c r="J785">
        <f t="shared" si="49"/>
        <v>0</v>
      </c>
      <c r="K785">
        <f t="shared" si="50"/>
        <v>3454.9501450220296</v>
      </c>
      <c r="L785">
        <f t="shared" si="51"/>
        <v>0</v>
      </c>
    </row>
    <row r="786" spans="1:12" x14ac:dyDescent="0.35">
      <c r="A786" s="1" t="s">
        <v>66</v>
      </c>
      <c r="B786">
        <v>0.1</v>
      </c>
      <c r="C786">
        <v>0</v>
      </c>
      <c r="D786">
        <v>0</v>
      </c>
      <c r="E786">
        <v>172.62799999999999</v>
      </c>
      <c r="F786">
        <v>0</v>
      </c>
      <c r="G786">
        <f>395.84105+0.1</f>
        <v>395.94105000000002</v>
      </c>
      <c r="I786">
        <f t="shared" si="48"/>
        <v>0</v>
      </c>
      <c r="J786">
        <f t="shared" si="49"/>
        <v>0</v>
      </c>
      <c r="K786">
        <f t="shared" si="50"/>
        <v>3454.9501450220296</v>
      </c>
      <c r="L786">
        <f t="shared" si="51"/>
        <v>0</v>
      </c>
    </row>
    <row r="787" spans="1:12" x14ac:dyDescent="0.35">
      <c r="A787" s="1" t="s">
        <v>67</v>
      </c>
      <c r="B787">
        <v>0.21199999999999999</v>
      </c>
      <c r="C787">
        <v>0</v>
      </c>
      <c r="D787">
        <v>2.47240752</v>
      </c>
      <c r="E787">
        <v>0</v>
      </c>
      <c r="F787">
        <v>0</v>
      </c>
      <c r="G787">
        <v>396.22805</v>
      </c>
      <c r="I787">
        <f t="shared" si="48"/>
        <v>0</v>
      </c>
      <c r="J787">
        <f t="shared" si="49"/>
        <v>49.48238246273813</v>
      </c>
      <c r="K787">
        <f t="shared" si="50"/>
        <v>0</v>
      </c>
      <c r="L787">
        <f t="shared" si="51"/>
        <v>0</v>
      </c>
    </row>
    <row r="788" spans="1:12" x14ac:dyDescent="0.35">
      <c r="A788" s="1" t="s">
        <v>68</v>
      </c>
      <c r="B788">
        <v>0.09</v>
      </c>
      <c r="C788">
        <v>0</v>
      </c>
      <c r="D788">
        <v>0</v>
      </c>
      <c r="E788">
        <v>0</v>
      </c>
      <c r="F788">
        <v>-13632</v>
      </c>
      <c r="G788">
        <v>396.37804999999997</v>
      </c>
      <c r="I788">
        <f t="shared" si="48"/>
        <v>0</v>
      </c>
      <c r="J788">
        <f t="shared" si="49"/>
        <v>0</v>
      </c>
      <c r="K788">
        <f t="shared" si="50"/>
        <v>0</v>
      </c>
      <c r="L788">
        <f t="shared" si="51"/>
        <v>-272828.74375501258</v>
      </c>
    </row>
    <row r="789" spans="1:12" x14ac:dyDescent="0.35">
      <c r="A789" s="1" t="s">
        <v>69</v>
      </c>
      <c r="B789">
        <v>0.16600000000000001</v>
      </c>
      <c r="C789">
        <v>0</v>
      </c>
      <c r="D789">
        <v>0</v>
      </c>
      <c r="E789">
        <v>-202.23429300000001</v>
      </c>
      <c r="F789">
        <v>0</v>
      </c>
      <c r="G789">
        <v>396.99491</v>
      </c>
      <c r="I789">
        <f t="shared" si="48"/>
        <v>0</v>
      </c>
      <c r="J789">
        <f t="shared" si="49"/>
        <v>0</v>
      </c>
      <c r="K789">
        <f t="shared" si="50"/>
        <v>-4047.4859230760812</v>
      </c>
      <c r="L789">
        <f t="shared" si="51"/>
        <v>0</v>
      </c>
    </row>
    <row r="790" spans="1:12" x14ac:dyDescent="0.35">
      <c r="A790" s="1" t="s">
        <v>70</v>
      </c>
      <c r="B790">
        <v>0.21199999999999999</v>
      </c>
      <c r="C790">
        <v>0</v>
      </c>
      <c r="D790">
        <v>-2.53358734</v>
      </c>
      <c r="E790">
        <v>0</v>
      </c>
      <c r="F790">
        <v>0</v>
      </c>
      <c r="G790">
        <v>397.28190999999998</v>
      </c>
      <c r="I790">
        <f t="shared" si="48"/>
        <v>0</v>
      </c>
      <c r="J790">
        <f t="shared" si="49"/>
        <v>-50.706825936458621</v>
      </c>
      <c r="K790">
        <f t="shared" si="50"/>
        <v>0</v>
      </c>
      <c r="L790">
        <f t="shared" si="51"/>
        <v>0</v>
      </c>
    </row>
    <row r="791" spans="1:12" x14ac:dyDescent="0.35">
      <c r="A791" s="1" t="s">
        <v>20</v>
      </c>
      <c r="B791">
        <v>0.41782794400000001</v>
      </c>
      <c r="C791">
        <v>2.3392E-3</v>
      </c>
      <c r="D791">
        <v>0</v>
      </c>
      <c r="E791">
        <v>0</v>
      </c>
      <c r="F791">
        <v>0</v>
      </c>
      <c r="G791">
        <v>397.74673000000001</v>
      </c>
      <c r="I791">
        <f t="shared" si="48"/>
        <v>0.11204704805350077</v>
      </c>
      <c r="J791">
        <f t="shared" si="49"/>
        <v>0</v>
      </c>
      <c r="K791">
        <f t="shared" si="50"/>
        <v>0</v>
      </c>
      <c r="L791">
        <f t="shared" si="51"/>
        <v>0</v>
      </c>
    </row>
    <row r="792" spans="1:12" x14ac:dyDescent="0.35">
      <c r="A792" s="1" t="s">
        <v>21</v>
      </c>
      <c r="B792">
        <v>0.41782808399999999</v>
      </c>
      <c r="C792">
        <v>3.2192000000000002E-3</v>
      </c>
      <c r="D792">
        <v>0</v>
      </c>
      <c r="E792">
        <v>0</v>
      </c>
      <c r="F792">
        <v>0</v>
      </c>
      <c r="G792">
        <v>398.16455999999999</v>
      </c>
      <c r="I792">
        <f t="shared" si="48"/>
        <v>0.15419875865034546</v>
      </c>
      <c r="J792">
        <f t="shared" si="49"/>
        <v>0</v>
      </c>
      <c r="K792">
        <f t="shared" si="50"/>
        <v>0</v>
      </c>
      <c r="L792">
        <f t="shared" si="51"/>
        <v>0</v>
      </c>
    </row>
    <row r="793" spans="1:12" x14ac:dyDescent="0.35">
      <c r="A793" s="1" t="s">
        <v>22</v>
      </c>
      <c r="B793">
        <v>0.41782827500000003</v>
      </c>
      <c r="C793">
        <v>4.1392E-3</v>
      </c>
      <c r="D793">
        <v>0</v>
      </c>
      <c r="E793">
        <v>0</v>
      </c>
      <c r="F793">
        <v>0</v>
      </c>
      <c r="G793">
        <v>398.58238999999998</v>
      </c>
      <c r="I793">
        <f t="shared" si="48"/>
        <v>0.19826640470947862</v>
      </c>
      <c r="J793">
        <f t="shared" si="49"/>
        <v>0</v>
      </c>
      <c r="K793">
        <f t="shared" si="50"/>
        <v>0</v>
      </c>
      <c r="L793">
        <f t="shared" si="51"/>
        <v>0</v>
      </c>
    </row>
    <row r="794" spans="1:12" x14ac:dyDescent="0.35">
      <c r="A794" s="1" t="s">
        <v>23</v>
      </c>
      <c r="B794">
        <v>0.41782864199999997</v>
      </c>
      <c r="C794">
        <v>5.4992000000000001E-3</v>
      </c>
      <c r="D794">
        <v>0</v>
      </c>
      <c r="E794">
        <v>0</v>
      </c>
      <c r="F794">
        <v>0</v>
      </c>
      <c r="G794">
        <v>399.00022000000001</v>
      </c>
      <c r="I794">
        <f t="shared" si="48"/>
        <v>0.26340975432619773</v>
      </c>
      <c r="J794">
        <f t="shared" si="49"/>
        <v>0</v>
      </c>
      <c r="K794">
        <f t="shared" si="50"/>
        <v>0</v>
      </c>
      <c r="L794">
        <f t="shared" si="51"/>
        <v>0</v>
      </c>
    </row>
    <row r="795" spans="1:12" x14ac:dyDescent="0.35">
      <c r="A795" s="1" t="s">
        <v>24</v>
      </c>
      <c r="B795">
        <v>0.41782941899999998</v>
      </c>
      <c r="C795">
        <v>7.6290999999999998E-3</v>
      </c>
      <c r="D795">
        <v>0</v>
      </c>
      <c r="E795">
        <v>0</v>
      </c>
      <c r="F795">
        <v>0</v>
      </c>
      <c r="G795">
        <v>399.41804999999999</v>
      </c>
      <c r="I795">
        <f t="shared" si="48"/>
        <v>0.36543053893202671</v>
      </c>
      <c r="J795">
        <f t="shared" si="49"/>
        <v>0</v>
      </c>
      <c r="K795">
        <f t="shared" si="50"/>
        <v>0</v>
      </c>
      <c r="L795">
        <f t="shared" si="51"/>
        <v>0</v>
      </c>
    </row>
    <row r="796" spans="1:12" x14ac:dyDescent="0.35">
      <c r="A796" s="1" t="s">
        <v>71</v>
      </c>
      <c r="B796">
        <v>0.3745</v>
      </c>
      <c r="C796">
        <v>0</v>
      </c>
      <c r="D796">
        <v>4.5116622</v>
      </c>
      <c r="E796">
        <v>0</v>
      </c>
      <c r="F796">
        <v>0</v>
      </c>
      <c r="G796">
        <v>399.94254999999998</v>
      </c>
      <c r="I796">
        <f t="shared" si="48"/>
        <v>0</v>
      </c>
      <c r="J796">
        <f t="shared" si="49"/>
        <v>90.29571084748946</v>
      </c>
      <c r="K796">
        <f t="shared" si="50"/>
        <v>0</v>
      </c>
      <c r="L796">
        <f t="shared" si="51"/>
        <v>0</v>
      </c>
    </row>
    <row r="797" spans="1:12" x14ac:dyDescent="0.35">
      <c r="A797" s="1" t="s">
        <v>72</v>
      </c>
      <c r="B797">
        <v>1.0280365199999999</v>
      </c>
      <c r="C797">
        <v>2.4767999999999998E-2</v>
      </c>
      <c r="D797">
        <v>-1.929</v>
      </c>
      <c r="E797">
        <v>0</v>
      </c>
      <c r="F797">
        <v>0</v>
      </c>
      <c r="G797">
        <v>401.06058999999999</v>
      </c>
      <c r="I797">
        <f t="shared" si="48"/>
        <v>0.48218416286837618</v>
      </c>
      <c r="J797">
        <f t="shared" si="49"/>
        <v>-38.606708238220314</v>
      </c>
      <c r="K797">
        <f t="shared" si="50"/>
        <v>0</v>
      </c>
      <c r="L797">
        <f t="shared" si="51"/>
        <v>0</v>
      </c>
    </row>
    <row r="798" spans="1:12" x14ac:dyDescent="0.35">
      <c r="A798" s="1" t="s">
        <v>73</v>
      </c>
      <c r="B798">
        <v>0.4975</v>
      </c>
      <c r="C798">
        <v>0</v>
      </c>
      <c r="D798">
        <v>4.61414189</v>
      </c>
      <c r="E798">
        <v>0</v>
      </c>
      <c r="F798">
        <v>0</v>
      </c>
      <c r="G798">
        <v>401.64809000000002</v>
      </c>
      <c r="I798">
        <f t="shared" si="48"/>
        <v>0</v>
      </c>
      <c r="J798">
        <f t="shared" si="49"/>
        <v>92.346723544313335</v>
      </c>
      <c r="K798">
        <f t="shared" si="50"/>
        <v>0</v>
      </c>
      <c r="L798">
        <f t="shared" si="51"/>
        <v>0</v>
      </c>
    </row>
    <row r="799" spans="1:12" x14ac:dyDescent="0.35">
      <c r="A799" s="1" t="s">
        <v>28</v>
      </c>
      <c r="B799">
        <v>0.1</v>
      </c>
      <c r="C799">
        <v>0</v>
      </c>
      <c r="D799">
        <v>0</v>
      </c>
      <c r="E799">
        <v>0</v>
      </c>
      <c r="F799">
        <v>0</v>
      </c>
      <c r="G799">
        <v>401.81916000000001</v>
      </c>
      <c r="I799">
        <f t="shared" si="48"/>
        <v>0</v>
      </c>
      <c r="J799">
        <f t="shared" si="49"/>
        <v>0</v>
      </c>
      <c r="K799">
        <f t="shared" si="50"/>
        <v>0</v>
      </c>
      <c r="L799">
        <f t="shared" si="51"/>
        <v>0</v>
      </c>
    </row>
    <row r="800" spans="1:12" x14ac:dyDescent="0.35">
      <c r="A800" s="1" t="s">
        <v>74</v>
      </c>
      <c r="B800">
        <v>0.40000102700000001</v>
      </c>
      <c r="C800">
        <v>5.2300999999999997E-3</v>
      </c>
      <c r="D800">
        <v>-1.5815999999999999</v>
      </c>
      <c r="E800">
        <v>0</v>
      </c>
      <c r="F800">
        <v>0</v>
      </c>
      <c r="G800">
        <v>402.31216000000001</v>
      </c>
      <c r="I800">
        <f t="shared" si="48"/>
        <v>0.26168536331815889</v>
      </c>
      <c r="J800">
        <f t="shared" si="49"/>
        <v>-31.653898263125576</v>
      </c>
      <c r="K800">
        <f t="shared" si="50"/>
        <v>0</v>
      </c>
      <c r="L800">
        <f t="shared" si="51"/>
        <v>0</v>
      </c>
    </row>
    <row r="801" spans="1:12" x14ac:dyDescent="0.35">
      <c r="A801" s="1" t="s">
        <v>30</v>
      </c>
      <c r="B801">
        <v>2.44294E-2</v>
      </c>
      <c r="C801">
        <v>1.0499000000000001E-3</v>
      </c>
      <c r="D801">
        <v>0</v>
      </c>
      <c r="E801">
        <v>0</v>
      </c>
      <c r="F801">
        <v>0</v>
      </c>
      <c r="G801">
        <v>402.40708999999998</v>
      </c>
      <c r="I801">
        <f t="shared" si="48"/>
        <v>0.8601331402616047</v>
      </c>
      <c r="J801">
        <f t="shared" si="49"/>
        <v>0</v>
      </c>
      <c r="K801">
        <f t="shared" si="50"/>
        <v>0</v>
      </c>
      <c r="L801">
        <f t="shared" si="51"/>
        <v>0</v>
      </c>
    </row>
    <row r="802" spans="1:12" x14ac:dyDescent="0.35">
      <c r="A802" s="1" t="s">
        <v>30</v>
      </c>
      <c r="B802">
        <v>2.44294E-2</v>
      </c>
      <c r="C802">
        <v>1.0499000000000001E-3</v>
      </c>
      <c r="D802">
        <v>0</v>
      </c>
      <c r="E802">
        <v>0</v>
      </c>
      <c r="F802">
        <v>0</v>
      </c>
      <c r="G802">
        <f>402.40709+0.0244294</f>
        <v>402.43151939999996</v>
      </c>
      <c r="I802">
        <f t="shared" si="48"/>
        <v>0.8601331402616047</v>
      </c>
      <c r="J802">
        <f t="shared" si="49"/>
        <v>0</v>
      </c>
      <c r="K802">
        <f t="shared" si="50"/>
        <v>0</v>
      </c>
      <c r="L802">
        <f t="shared" si="51"/>
        <v>0</v>
      </c>
    </row>
    <row r="803" spans="1:12" x14ac:dyDescent="0.35">
      <c r="A803" s="1" t="s">
        <v>75</v>
      </c>
      <c r="B803">
        <v>0.40000102700000001</v>
      </c>
      <c r="C803">
        <v>5.2300999999999997E-3</v>
      </c>
      <c r="D803">
        <v>-1.5815999999999999</v>
      </c>
      <c r="E803">
        <v>0</v>
      </c>
      <c r="F803">
        <v>0</v>
      </c>
      <c r="G803">
        <v>402.90201999999999</v>
      </c>
      <c r="I803">
        <f t="shared" si="48"/>
        <v>0.26168536331815889</v>
      </c>
      <c r="J803">
        <f t="shared" si="49"/>
        <v>-31.653898263125576</v>
      </c>
      <c r="K803">
        <f t="shared" si="50"/>
        <v>0</v>
      </c>
      <c r="L803">
        <f t="shared" si="51"/>
        <v>0</v>
      </c>
    </row>
    <row r="804" spans="1:12" x14ac:dyDescent="0.35">
      <c r="A804" s="1" t="s">
        <v>76</v>
      </c>
      <c r="B804">
        <v>0.4975</v>
      </c>
      <c r="C804">
        <v>0</v>
      </c>
      <c r="D804">
        <v>4.61414189</v>
      </c>
      <c r="E804">
        <v>0</v>
      </c>
      <c r="F804">
        <v>0</v>
      </c>
      <c r="G804">
        <v>403.66359</v>
      </c>
      <c r="I804">
        <f t="shared" si="48"/>
        <v>0</v>
      </c>
      <c r="J804">
        <f t="shared" si="49"/>
        <v>92.346723544313335</v>
      </c>
      <c r="K804">
        <f t="shared" si="50"/>
        <v>0</v>
      </c>
      <c r="L804">
        <f t="shared" si="51"/>
        <v>0</v>
      </c>
    </row>
    <row r="805" spans="1:12" x14ac:dyDescent="0.35">
      <c r="A805" s="1" t="s">
        <v>77</v>
      </c>
      <c r="B805">
        <v>1.0280365199999999</v>
      </c>
      <c r="C805">
        <v>2.4767999999999998E-2</v>
      </c>
      <c r="D805">
        <v>-1.929</v>
      </c>
      <c r="E805">
        <v>0</v>
      </c>
      <c r="F805">
        <v>0</v>
      </c>
      <c r="G805">
        <v>404.78161999999998</v>
      </c>
      <c r="I805">
        <f t="shared" si="48"/>
        <v>0.48218416286837618</v>
      </c>
      <c r="J805">
        <f t="shared" si="49"/>
        <v>-38.606708238220314</v>
      </c>
      <c r="K805">
        <f t="shared" si="50"/>
        <v>0</v>
      </c>
      <c r="L805">
        <f t="shared" si="51"/>
        <v>0</v>
      </c>
    </row>
    <row r="806" spans="1:12" x14ac:dyDescent="0.35">
      <c r="A806" s="1" t="s">
        <v>78</v>
      </c>
      <c r="B806">
        <v>0.3745</v>
      </c>
      <c r="C806">
        <v>0</v>
      </c>
      <c r="D806">
        <v>4.5116622</v>
      </c>
      <c r="E806">
        <v>0</v>
      </c>
      <c r="F806">
        <v>0</v>
      </c>
      <c r="G806">
        <v>405.24612000000002</v>
      </c>
      <c r="I806">
        <f t="shared" si="48"/>
        <v>0</v>
      </c>
      <c r="J806">
        <f t="shared" si="49"/>
        <v>90.29571084748946</v>
      </c>
      <c r="K806">
        <f t="shared" si="50"/>
        <v>0</v>
      </c>
      <c r="L806">
        <f t="shared" si="51"/>
        <v>0</v>
      </c>
    </row>
    <row r="807" spans="1:12" x14ac:dyDescent="0.35">
      <c r="A807" s="1" t="s">
        <v>35</v>
      </c>
      <c r="B807">
        <v>0.41782941899999998</v>
      </c>
      <c r="C807">
        <v>7.6290999999999998E-3</v>
      </c>
      <c r="D807">
        <v>0</v>
      </c>
      <c r="E807">
        <v>0</v>
      </c>
      <c r="F807">
        <v>0</v>
      </c>
      <c r="G807">
        <v>405.81394999999998</v>
      </c>
      <c r="I807">
        <f t="shared" si="48"/>
        <v>0.36543053893202671</v>
      </c>
      <c r="J807">
        <f t="shared" si="49"/>
        <v>0</v>
      </c>
      <c r="K807">
        <f t="shared" si="50"/>
        <v>0</v>
      </c>
      <c r="L807">
        <f t="shared" si="51"/>
        <v>0</v>
      </c>
    </row>
    <row r="808" spans="1:12" x14ac:dyDescent="0.35">
      <c r="A808" s="1" t="s">
        <v>36</v>
      </c>
      <c r="B808">
        <v>0.41782864199999997</v>
      </c>
      <c r="C808">
        <v>5.4992000000000001E-3</v>
      </c>
      <c r="D808">
        <v>0</v>
      </c>
      <c r="E808">
        <v>0</v>
      </c>
      <c r="F808">
        <v>0</v>
      </c>
      <c r="G808">
        <v>406.23178000000001</v>
      </c>
      <c r="I808">
        <f t="shared" si="48"/>
        <v>0.26340975432619773</v>
      </c>
      <c r="J808">
        <f t="shared" si="49"/>
        <v>0</v>
      </c>
      <c r="K808">
        <f t="shared" si="50"/>
        <v>0</v>
      </c>
      <c r="L808">
        <f t="shared" si="51"/>
        <v>0</v>
      </c>
    </row>
    <row r="809" spans="1:12" x14ac:dyDescent="0.35">
      <c r="A809" s="1" t="s">
        <v>37</v>
      </c>
      <c r="B809">
        <v>0.41782827500000003</v>
      </c>
      <c r="C809">
        <v>4.1392E-3</v>
      </c>
      <c r="D809">
        <v>0</v>
      </c>
      <c r="E809">
        <v>0</v>
      </c>
      <c r="F809">
        <v>0</v>
      </c>
      <c r="G809">
        <v>406.64961</v>
      </c>
      <c r="I809">
        <f t="shared" si="48"/>
        <v>0.19826640470947862</v>
      </c>
      <c r="J809">
        <f t="shared" si="49"/>
        <v>0</v>
      </c>
      <c r="K809">
        <f t="shared" si="50"/>
        <v>0</v>
      </c>
      <c r="L809">
        <f t="shared" si="51"/>
        <v>0</v>
      </c>
    </row>
    <row r="810" spans="1:12" x14ac:dyDescent="0.35">
      <c r="A810" s="1" t="s">
        <v>38</v>
      </c>
      <c r="B810">
        <v>0.41782808399999999</v>
      </c>
      <c r="C810">
        <v>3.2192000000000002E-3</v>
      </c>
      <c r="D810">
        <v>0</v>
      </c>
      <c r="E810">
        <v>0</v>
      </c>
      <c r="F810">
        <v>0</v>
      </c>
      <c r="G810">
        <v>407.06743999999998</v>
      </c>
      <c r="I810">
        <f t="shared" si="48"/>
        <v>0.15419875865034546</v>
      </c>
      <c r="J810">
        <f t="shared" si="49"/>
        <v>0</v>
      </c>
      <c r="K810">
        <f t="shared" si="50"/>
        <v>0</v>
      </c>
      <c r="L810">
        <f t="shared" si="51"/>
        <v>0</v>
      </c>
    </row>
    <row r="811" spans="1:12" x14ac:dyDescent="0.35">
      <c r="A811" s="1" t="s">
        <v>39</v>
      </c>
      <c r="B811">
        <v>0.41782794400000001</v>
      </c>
      <c r="C811">
        <v>2.3392E-3</v>
      </c>
      <c r="D811">
        <v>0</v>
      </c>
      <c r="E811">
        <v>0</v>
      </c>
      <c r="F811">
        <v>0</v>
      </c>
      <c r="G811">
        <v>407.48527000000001</v>
      </c>
      <c r="I811">
        <f t="shared" si="48"/>
        <v>0.11204704805350077</v>
      </c>
      <c r="J811">
        <f t="shared" si="49"/>
        <v>0</v>
      </c>
      <c r="K811">
        <f t="shared" si="50"/>
        <v>0</v>
      </c>
      <c r="L811">
        <f t="shared" si="51"/>
        <v>0</v>
      </c>
    </row>
    <row r="812" spans="1:12" x14ac:dyDescent="0.35">
      <c r="A812" s="1" t="s">
        <v>79</v>
      </c>
      <c r="B812">
        <v>0.21199999999999999</v>
      </c>
      <c r="C812">
        <v>0</v>
      </c>
      <c r="D812">
        <v>-2.53358734</v>
      </c>
      <c r="E812">
        <v>0</v>
      </c>
      <c r="F812">
        <v>0</v>
      </c>
      <c r="G812">
        <v>407.74426999999997</v>
      </c>
      <c r="I812">
        <f t="shared" si="48"/>
        <v>0</v>
      </c>
      <c r="J812">
        <f t="shared" si="49"/>
        <v>-50.706825936458621</v>
      </c>
      <c r="K812">
        <f t="shared" si="50"/>
        <v>0</v>
      </c>
      <c r="L812">
        <f t="shared" si="51"/>
        <v>0</v>
      </c>
    </row>
    <row r="813" spans="1:12" x14ac:dyDescent="0.35">
      <c r="A813" s="1" t="s">
        <v>80</v>
      </c>
      <c r="B813">
        <v>0.16600000000000001</v>
      </c>
      <c r="C813">
        <v>0</v>
      </c>
      <c r="D813">
        <v>0</v>
      </c>
      <c r="E813">
        <v>-202.23429300000001</v>
      </c>
      <c r="F813">
        <v>0</v>
      </c>
      <c r="G813">
        <v>407.98527000000001</v>
      </c>
      <c r="I813">
        <f t="shared" si="48"/>
        <v>0</v>
      </c>
      <c r="J813">
        <f t="shared" si="49"/>
        <v>0</v>
      </c>
      <c r="K813">
        <f t="shared" si="50"/>
        <v>-4047.4859230760812</v>
      </c>
      <c r="L813">
        <f t="shared" si="51"/>
        <v>0</v>
      </c>
    </row>
    <row r="814" spans="1:12" x14ac:dyDescent="0.35">
      <c r="A814" s="1" t="s">
        <v>81</v>
      </c>
      <c r="B814">
        <v>0.09</v>
      </c>
      <c r="C814">
        <v>0</v>
      </c>
      <c r="D814">
        <v>0</v>
      </c>
      <c r="E814">
        <v>0</v>
      </c>
      <c r="F814">
        <v>-13632</v>
      </c>
      <c r="G814">
        <v>408.52611999999999</v>
      </c>
      <c r="I814">
        <f t="shared" si="48"/>
        <v>0</v>
      </c>
      <c r="J814">
        <f t="shared" si="49"/>
        <v>0</v>
      </c>
      <c r="K814">
        <f t="shared" si="50"/>
        <v>0</v>
      </c>
      <c r="L814">
        <f t="shared" si="51"/>
        <v>-272828.74375501258</v>
      </c>
    </row>
    <row r="815" spans="1:12" x14ac:dyDescent="0.35">
      <c r="A815" s="1" t="s">
        <v>82</v>
      </c>
      <c r="B815">
        <v>0.21199999999999999</v>
      </c>
      <c r="C815">
        <v>0</v>
      </c>
      <c r="D815">
        <v>2.47240752</v>
      </c>
      <c r="E815">
        <v>0</v>
      </c>
      <c r="F815">
        <v>0</v>
      </c>
      <c r="G815">
        <v>408.79811999999998</v>
      </c>
      <c r="I815">
        <f t="shared" si="48"/>
        <v>0</v>
      </c>
      <c r="J815">
        <f t="shared" si="49"/>
        <v>49.48238246273813</v>
      </c>
      <c r="K815">
        <f t="shared" si="50"/>
        <v>0</v>
      </c>
      <c r="L815">
        <f t="shared" si="51"/>
        <v>0</v>
      </c>
    </row>
    <row r="816" spans="1:12" x14ac:dyDescent="0.35">
      <c r="A816" s="1" t="s">
        <v>83</v>
      </c>
      <c r="B816">
        <v>0.1</v>
      </c>
      <c r="C816">
        <v>0</v>
      </c>
      <c r="D816">
        <v>0</v>
      </c>
      <c r="E816">
        <v>172.62799999999999</v>
      </c>
      <c r="F816">
        <v>0</v>
      </c>
      <c r="G816">
        <v>408.97311999999999</v>
      </c>
      <c r="I816">
        <f t="shared" si="48"/>
        <v>0</v>
      </c>
      <c r="J816">
        <f t="shared" si="49"/>
        <v>0</v>
      </c>
      <c r="K816">
        <f t="shared" si="50"/>
        <v>3454.9501450220296</v>
      </c>
      <c r="L816">
        <f t="shared" si="51"/>
        <v>0</v>
      </c>
    </row>
    <row r="817" spans="1:12" x14ac:dyDescent="0.35">
      <c r="A817" s="1" t="s">
        <v>83</v>
      </c>
      <c r="B817">
        <v>0.1</v>
      </c>
      <c r="C817">
        <v>0</v>
      </c>
      <c r="D817">
        <v>0</v>
      </c>
      <c r="E817">
        <v>172.62799999999999</v>
      </c>
      <c r="F817">
        <v>0</v>
      </c>
      <c r="G817">
        <f>0.1+408.97312</f>
        <v>409.07312000000002</v>
      </c>
      <c r="I817">
        <f t="shared" si="48"/>
        <v>0</v>
      </c>
      <c r="J817">
        <f t="shared" si="49"/>
        <v>0</v>
      </c>
      <c r="K817">
        <f t="shared" si="50"/>
        <v>3454.9501450220296</v>
      </c>
      <c r="L817">
        <f t="shared" si="51"/>
        <v>0</v>
      </c>
    </row>
    <row r="818" spans="1:12" x14ac:dyDescent="0.35">
      <c r="A818" s="1" t="s">
        <v>84</v>
      </c>
      <c r="B818">
        <v>0.21199999999999999</v>
      </c>
      <c r="C818">
        <v>0</v>
      </c>
      <c r="D818">
        <v>2.47240752</v>
      </c>
      <c r="E818">
        <v>0</v>
      </c>
      <c r="F818">
        <v>0</v>
      </c>
      <c r="G818">
        <v>409.36011999999999</v>
      </c>
      <c r="I818">
        <f t="shared" si="48"/>
        <v>0</v>
      </c>
      <c r="J818">
        <f t="shared" si="49"/>
        <v>49.48238246273813</v>
      </c>
      <c r="K818">
        <f t="shared" si="50"/>
        <v>0</v>
      </c>
      <c r="L818">
        <f t="shared" si="51"/>
        <v>0</v>
      </c>
    </row>
    <row r="819" spans="1:12" x14ac:dyDescent="0.35">
      <c r="A819" s="1" t="s">
        <v>85</v>
      </c>
      <c r="B819">
        <v>0.16600000000000001</v>
      </c>
      <c r="C819">
        <v>0</v>
      </c>
      <c r="D819">
        <v>0</v>
      </c>
      <c r="E819">
        <v>-132.861086</v>
      </c>
      <c r="F819">
        <v>0</v>
      </c>
      <c r="G819">
        <v>410.12696999999997</v>
      </c>
      <c r="I819">
        <f t="shared" si="48"/>
        <v>0</v>
      </c>
      <c r="J819">
        <f t="shared" si="49"/>
        <v>0</v>
      </c>
      <c r="K819">
        <f t="shared" si="50"/>
        <v>-2659.0612666744933</v>
      </c>
      <c r="L819">
        <f t="shared" si="51"/>
        <v>0</v>
      </c>
    </row>
    <row r="820" spans="1:12" x14ac:dyDescent="0.35">
      <c r="A820" s="1" t="s">
        <v>86</v>
      </c>
      <c r="B820">
        <v>0.21199999999999999</v>
      </c>
      <c r="C820">
        <v>0</v>
      </c>
      <c r="D820">
        <v>-2.3709669899999999</v>
      </c>
      <c r="E820">
        <v>0</v>
      </c>
      <c r="F820">
        <v>0</v>
      </c>
      <c r="G820">
        <v>410.41397000000001</v>
      </c>
      <c r="I820">
        <f t="shared" si="48"/>
        <v>0</v>
      </c>
      <c r="J820">
        <f t="shared" si="49"/>
        <v>-47.452167353748784</v>
      </c>
      <c r="K820">
        <f t="shared" si="50"/>
        <v>0</v>
      </c>
      <c r="L820">
        <f t="shared" si="51"/>
        <v>0</v>
      </c>
    </row>
    <row r="821" spans="1:12" x14ac:dyDescent="0.35">
      <c r="A821" s="1" t="s">
        <v>48</v>
      </c>
      <c r="B821">
        <v>0.41782794400000001</v>
      </c>
      <c r="C821">
        <v>2.3392E-3</v>
      </c>
      <c r="D821">
        <v>0</v>
      </c>
      <c r="E821">
        <v>0</v>
      </c>
      <c r="F821">
        <v>0</v>
      </c>
      <c r="G821">
        <v>410.87880000000001</v>
      </c>
      <c r="I821">
        <f t="shared" si="48"/>
        <v>0.11204704805350077</v>
      </c>
      <c r="J821">
        <f t="shared" si="49"/>
        <v>0</v>
      </c>
      <c r="K821">
        <f t="shared" si="50"/>
        <v>0</v>
      </c>
      <c r="L821">
        <f t="shared" si="51"/>
        <v>0</v>
      </c>
    </row>
    <row r="822" spans="1:12" x14ac:dyDescent="0.35">
      <c r="A822" s="1" t="s">
        <v>49</v>
      </c>
      <c r="B822">
        <v>0.41782808399999999</v>
      </c>
      <c r="C822">
        <v>3.2192000000000002E-3</v>
      </c>
      <c r="D822">
        <v>0</v>
      </c>
      <c r="E822">
        <v>0</v>
      </c>
      <c r="F822">
        <v>0</v>
      </c>
      <c r="G822">
        <v>411.29662999999999</v>
      </c>
      <c r="I822">
        <f t="shared" si="48"/>
        <v>0.15419875865034546</v>
      </c>
      <c r="J822">
        <f t="shared" si="49"/>
        <v>0</v>
      </c>
      <c r="K822">
        <f t="shared" si="50"/>
        <v>0</v>
      </c>
      <c r="L822">
        <f t="shared" si="51"/>
        <v>0</v>
      </c>
    </row>
    <row r="823" spans="1:12" x14ac:dyDescent="0.35">
      <c r="A823" s="1" t="s">
        <v>50</v>
      </c>
      <c r="B823">
        <v>0.41782827500000003</v>
      </c>
      <c r="C823">
        <v>4.1392E-3</v>
      </c>
      <c r="D823">
        <v>0</v>
      </c>
      <c r="E823">
        <v>0</v>
      </c>
      <c r="F823">
        <v>0</v>
      </c>
      <c r="G823">
        <v>411.71445999999997</v>
      </c>
      <c r="I823">
        <f t="shared" si="48"/>
        <v>0.19826640470947862</v>
      </c>
      <c r="J823">
        <f t="shared" si="49"/>
        <v>0</v>
      </c>
      <c r="K823">
        <f t="shared" si="50"/>
        <v>0</v>
      </c>
      <c r="L823">
        <f t="shared" si="51"/>
        <v>0</v>
      </c>
    </row>
    <row r="824" spans="1:12" x14ac:dyDescent="0.35">
      <c r="A824" s="1" t="s">
        <v>51</v>
      </c>
      <c r="B824">
        <v>0.41782864199999997</v>
      </c>
      <c r="C824">
        <v>5.4992000000000001E-3</v>
      </c>
      <c r="D824">
        <v>0</v>
      </c>
      <c r="E824">
        <v>0</v>
      </c>
      <c r="F824">
        <v>0</v>
      </c>
      <c r="G824">
        <v>412.13229000000001</v>
      </c>
      <c r="I824">
        <f t="shared" si="48"/>
        <v>0.26340975432619773</v>
      </c>
      <c r="J824">
        <f t="shared" si="49"/>
        <v>0</v>
      </c>
      <c r="K824">
        <f t="shared" si="50"/>
        <v>0</v>
      </c>
      <c r="L824">
        <f t="shared" si="51"/>
        <v>0</v>
      </c>
    </row>
    <row r="825" spans="1:12" x14ac:dyDescent="0.35">
      <c r="A825" s="1" t="s">
        <v>52</v>
      </c>
      <c r="B825">
        <v>0.41783028900000002</v>
      </c>
      <c r="C825">
        <v>9.4690999999999994E-3</v>
      </c>
      <c r="D825">
        <v>0</v>
      </c>
      <c r="E825">
        <v>0</v>
      </c>
      <c r="F825">
        <v>0</v>
      </c>
      <c r="G825">
        <v>412.55011999999999</v>
      </c>
      <c r="I825">
        <f t="shared" si="48"/>
        <v>0.45356478630764774</v>
      </c>
      <c r="J825">
        <f t="shared" si="49"/>
        <v>0</v>
      </c>
      <c r="K825">
        <f t="shared" si="50"/>
        <v>0</v>
      </c>
      <c r="L825">
        <f t="shared" si="51"/>
        <v>0</v>
      </c>
    </row>
    <row r="826" spans="1:12" x14ac:dyDescent="0.35">
      <c r="A826" s="1" t="s">
        <v>87</v>
      </c>
      <c r="B826">
        <v>0.16200000000000001</v>
      </c>
      <c r="C826">
        <v>0</v>
      </c>
      <c r="D826">
        <v>-2.8698264299999998</v>
      </c>
      <c r="E826">
        <v>0</v>
      </c>
      <c r="F826">
        <v>0</v>
      </c>
      <c r="G826">
        <v>412.75912</v>
      </c>
      <c r="I826">
        <f t="shared" si="48"/>
        <v>0</v>
      </c>
      <c r="J826">
        <f t="shared" si="49"/>
        <v>-57.436263181619168</v>
      </c>
      <c r="K826">
        <f t="shared" si="50"/>
        <v>0</v>
      </c>
      <c r="L826">
        <f t="shared" si="51"/>
        <v>0</v>
      </c>
    </row>
    <row r="827" spans="1:12" x14ac:dyDescent="0.35">
      <c r="A827" s="1" t="s">
        <v>54</v>
      </c>
      <c r="B827">
        <v>0.1</v>
      </c>
      <c r="C827">
        <v>0</v>
      </c>
      <c r="D827">
        <v>0</v>
      </c>
      <c r="E827">
        <v>0</v>
      </c>
      <c r="F827">
        <v>0</v>
      </c>
      <c r="G827">
        <v>413.08911999999998</v>
      </c>
      <c r="I827">
        <f t="shared" si="48"/>
        <v>0</v>
      </c>
      <c r="J827">
        <f t="shared" si="49"/>
        <v>0</v>
      </c>
      <c r="K827">
        <f t="shared" si="50"/>
        <v>0</v>
      </c>
      <c r="L827">
        <f t="shared" si="51"/>
        <v>0</v>
      </c>
    </row>
    <row r="828" spans="1:12" x14ac:dyDescent="0.35">
      <c r="A828" s="1" t="s">
        <v>88</v>
      </c>
      <c r="B828">
        <v>0.29499999999999998</v>
      </c>
      <c r="C828">
        <v>0</v>
      </c>
      <c r="D828">
        <v>2.43875777</v>
      </c>
      <c r="E828">
        <v>0</v>
      </c>
      <c r="F828">
        <v>0</v>
      </c>
      <c r="G828">
        <v>413.49412000000001</v>
      </c>
      <c r="I828">
        <f t="shared" si="48"/>
        <v>0</v>
      </c>
      <c r="J828">
        <f t="shared" si="49"/>
        <v>48.808921560436907</v>
      </c>
      <c r="K828">
        <f t="shared" si="50"/>
        <v>0</v>
      </c>
      <c r="L828">
        <f t="shared" si="51"/>
        <v>0</v>
      </c>
    </row>
    <row r="829" spans="1:12" x14ac:dyDescent="0.35">
      <c r="A829" s="1" t="s">
        <v>56</v>
      </c>
      <c r="B829">
        <v>0.29499999999999998</v>
      </c>
      <c r="C829">
        <v>0</v>
      </c>
      <c r="D829">
        <v>2.43875777</v>
      </c>
      <c r="E829">
        <v>0</v>
      </c>
      <c r="F829">
        <v>0</v>
      </c>
      <c r="G829">
        <v>419.36727000000002</v>
      </c>
      <c r="I829">
        <f t="shared" si="48"/>
        <v>0</v>
      </c>
      <c r="J829">
        <f t="shared" si="49"/>
        <v>48.808921560436907</v>
      </c>
      <c r="K829">
        <f t="shared" si="50"/>
        <v>0</v>
      </c>
      <c r="L829">
        <f t="shared" si="51"/>
        <v>0</v>
      </c>
    </row>
    <row r="830" spans="1:12" x14ac:dyDescent="0.35">
      <c r="A830" s="1" t="s">
        <v>2</v>
      </c>
      <c r="B830">
        <v>0.1</v>
      </c>
      <c r="C830">
        <v>0</v>
      </c>
      <c r="D830">
        <v>0</v>
      </c>
      <c r="E830">
        <v>0</v>
      </c>
      <c r="F830">
        <v>0</v>
      </c>
      <c r="G830">
        <v>419.57727</v>
      </c>
      <c r="I830">
        <f t="shared" si="48"/>
        <v>0</v>
      </c>
      <c r="J830">
        <f t="shared" si="49"/>
        <v>0</v>
      </c>
      <c r="K830">
        <f t="shared" si="50"/>
        <v>0</v>
      </c>
      <c r="L830">
        <f t="shared" si="51"/>
        <v>0</v>
      </c>
    </row>
    <row r="831" spans="1:12" x14ac:dyDescent="0.35">
      <c r="A831" s="1" t="s">
        <v>57</v>
      </c>
      <c r="B831">
        <v>0.16200000000000001</v>
      </c>
      <c r="C831">
        <v>0</v>
      </c>
      <c r="D831">
        <v>-2.8698264299999998</v>
      </c>
      <c r="E831">
        <v>0</v>
      </c>
      <c r="F831">
        <v>0</v>
      </c>
      <c r="G831">
        <v>419.96926999999999</v>
      </c>
      <c r="I831">
        <f t="shared" si="48"/>
        <v>0</v>
      </c>
      <c r="J831">
        <f t="shared" si="49"/>
        <v>-57.436263181619168</v>
      </c>
      <c r="K831">
        <f t="shared" si="50"/>
        <v>0</v>
      </c>
      <c r="L831">
        <f t="shared" si="51"/>
        <v>0</v>
      </c>
    </row>
    <row r="832" spans="1:12" x14ac:dyDescent="0.35">
      <c r="A832" s="1" t="s">
        <v>58</v>
      </c>
      <c r="B832">
        <v>0.41783028900000002</v>
      </c>
      <c r="C832">
        <v>9.4690999999999994E-3</v>
      </c>
      <c r="D832">
        <v>0</v>
      </c>
      <c r="E832">
        <v>0</v>
      </c>
      <c r="F832">
        <v>0</v>
      </c>
      <c r="G832">
        <v>420.4341</v>
      </c>
      <c r="I832">
        <f t="shared" si="48"/>
        <v>0.45356478630764774</v>
      </c>
      <c r="J832">
        <f t="shared" si="49"/>
        <v>0</v>
      </c>
      <c r="K832">
        <f t="shared" si="50"/>
        <v>0</v>
      </c>
      <c r="L832">
        <f t="shared" si="51"/>
        <v>0</v>
      </c>
    </row>
    <row r="833" spans="1:12" x14ac:dyDescent="0.35">
      <c r="A833" s="1" t="s">
        <v>59</v>
      </c>
      <c r="B833">
        <v>0.41782864199999997</v>
      </c>
      <c r="C833">
        <v>5.4992000000000001E-3</v>
      </c>
      <c r="D833">
        <v>0</v>
      </c>
      <c r="E833">
        <v>0</v>
      </c>
      <c r="F833">
        <v>0</v>
      </c>
      <c r="G833">
        <v>420.85192999999998</v>
      </c>
      <c r="I833">
        <f t="shared" si="48"/>
        <v>0.26340975432619773</v>
      </c>
      <c r="J833">
        <f t="shared" si="49"/>
        <v>0</v>
      </c>
      <c r="K833">
        <f t="shared" si="50"/>
        <v>0</v>
      </c>
      <c r="L833">
        <f t="shared" si="51"/>
        <v>0</v>
      </c>
    </row>
    <row r="834" spans="1:12" x14ac:dyDescent="0.35">
      <c r="A834" s="1" t="s">
        <v>60</v>
      </c>
      <c r="B834">
        <v>0.41782827500000003</v>
      </c>
      <c r="C834">
        <v>4.1392E-3</v>
      </c>
      <c r="D834">
        <v>0</v>
      </c>
      <c r="E834">
        <v>0</v>
      </c>
      <c r="F834">
        <v>0</v>
      </c>
      <c r="G834">
        <v>421.26976000000002</v>
      </c>
      <c r="I834">
        <f t="shared" si="48"/>
        <v>0.19826640470947862</v>
      </c>
      <c r="J834">
        <f t="shared" si="49"/>
        <v>0</v>
      </c>
      <c r="K834">
        <f t="shared" si="50"/>
        <v>0</v>
      </c>
      <c r="L834">
        <f t="shared" si="51"/>
        <v>0</v>
      </c>
    </row>
    <row r="835" spans="1:12" x14ac:dyDescent="0.35">
      <c r="A835" s="1" t="s">
        <v>61</v>
      </c>
      <c r="B835">
        <v>0.41782808399999999</v>
      </c>
      <c r="C835">
        <v>3.2192000000000002E-3</v>
      </c>
      <c r="D835">
        <v>0</v>
      </c>
      <c r="E835">
        <v>0</v>
      </c>
      <c r="F835">
        <v>0</v>
      </c>
      <c r="G835">
        <v>421.68759</v>
      </c>
      <c r="I835">
        <f t="shared" si="48"/>
        <v>0.15419875865034546</v>
      </c>
      <c r="J835">
        <f t="shared" si="49"/>
        <v>0</v>
      </c>
      <c r="K835">
        <f t="shared" si="50"/>
        <v>0</v>
      </c>
      <c r="L835">
        <f t="shared" si="51"/>
        <v>0</v>
      </c>
    </row>
    <row r="836" spans="1:12" x14ac:dyDescent="0.35">
      <c r="A836" s="1" t="s">
        <v>62</v>
      </c>
      <c r="B836">
        <v>0.41782794400000001</v>
      </c>
      <c r="C836">
        <v>2.3392E-3</v>
      </c>
      <c r="D836">
        <v>0</v>
      </c>
      <c r="E836">
        <v>0</v>
      </c>
      <c r="F836">
        <v>0</v>
      </c>
      <c r="G836">
        <v>422.10541000000001</v>
      </c>
      <c r="I836">
        <f t="shared" ref="I836:I899" si="52">$H$2*$C836/$B836</f>
        <v>0.11204704805350077</v>
      </c>
      <c r="J836">
        <f t="shared" ref="J836:J899" si="53">$H$2*$D836</f>
        <v>0</v>
      </c>
      <c r="K836">
        <f t="shared" ref="K836:K899" si="54">$H$2*$E836</f>
        <v>0</v>
      </c>
      <c r="L836">
        <f t="shared" ref="L836:L899" si="55">$H$2*$F836</f>
        <v>0</v>
      </c>
    </row>
    <row r="837" spans="1:12" x14ac:dyDescent="0.35">
      <c r="A837" s="1" t="s">
        <v>63</v>
      </c>
      <c r="B837">
        <v>0.21199999999999999</v>
      </c>
      <c r="C837">
        <v>0</v>
      </c>
      <c r="D837">
        <v>-2.3709669899999999</v>
      </c>
      <c r="E837">
        <v>0</v>
      </c>
      <c r="F837">
        <v>0</v>
      </c>
      <c r="G837">
        <v>422.36441000000002</v>
      </c>
      <c r="I837">
        <f t="shared" si="52"/>
        <v>0</v>
      </c>
      <c r="J837">
        <f t="shared" si="53"/>
        <v>-47.452167353748784</v>
      </c>
      <c r="K837">
        <f t="shared" si="54"/>
        <v>0</v>
      </c>
      <c r="L837">
        <f t="shared" si="55"/>
        <v>0</v>
      </c>
    </row>
    <row r="838" spans="1:12" x14ac:dyDescent="0.35">
      <c r="A838" s="1" t="s">
        <v>64</v>
      </c>
      <c r="B838">
        <v>0.16600000000000001</v>
      </c>
      <c r="C838">
        <v>0</v>
      </c>
      <c r="D838">
        <v>0</v>
      </c>
      <c r="E838">
        <v>-132.861086</v>
      </c>
      <c r="F838">
        <v>0</v>
      </c>
      <c r="G838">
        <v>422.60541000000001</v>
      </c>
      <c r="I838">
        <f t="shared" si="52"/>
        <v>0</v>
      </c>
      <c r="J838">
        <f t="shared" si="53"/>
        <v>0</v>
      </c>
      <c r="K838">
        <f t="shared" si="54"/>
        <v>-2659.0612666744933</v>
      </c>
      <c r="L838">
        <f t="shared" si="55"/>
        <v>0</v>
      </c>
    </row>
    <row r="839" spans="1:12" x14ac:dyDescent="0.35">
      <c r="A839" s="1" t="s">
        <v>65</v>
      </c>
      <c r="B839">
        <v>0.21199999999999999</v>
      </c>
      <c r="C839">
        <v>0</v>
      </c>
      <c r="D839">
        <v>2.47240752</v>
      </c>
      <c r="E839">
        <v>0</v>
      </c>
      <c r="F839">
        <v>0</v>
      </c>
      <c r="G839">
        <v>423.41827000000001</v>
      </c>
      <c r="I839">
        <f t="shared" si="52"/>
        <v>0</v>
      </c>
      <c r="J839">
        <f t="shared" si="53"/>
        <v>49.48238246273813</v>
      </c>
      <c r="K839">
        <f t="shared" si="54"/>
        <v>0</v>
      </c>
      <c r="L839">
        <f t="shared" si="55"/>
        <v>0</v>
      </c>
    </row>
    <row r="840" spans="1:12" x14ac:dyDescent="0.35">
      <c r="A840" s="1" t="s">
        <v>66</v>
      </c>
      <c r="B840">
        <v>0.1</v>
      </c>
      <c r="C840">
        <v>0</v>
      </c>
      <c r="D840">
        <v>0</v>
      </c>
      <c r="E840">
        <v>172.62799999999999</v>
      </c>
      <c r="F840">
        <v>0</v>
      </c>
      <c r="G840">
        <v>423.59327000000002</v>
      </c>
      <c r="I840">
        <f t="shared" si="52"/>
        <v>0</v>
      </c>
      <c r="J840">
        <f t="shared" si="53"/>
        <v>0</v>
      </c>
      <c r="K840">
        <f t="shared" si="54"/>
        <v>3454.9501450220296</v>
      </c>
      <c r="L840">
        <f t="shared" si="55"/>
        <v>0</v>
      </c>
    </row>
    <row r="841" spans="1:12" x14ac:dyDescent="0.35">
      <c r="A841" s="1" t="s">
        <v>66</v>
      </c>
      <c r="B841">
        <v>0.1</v>
      </c>
      <c r="C841">
        <v>0</v>
      </c>
      <c r="D841">
        <v>0</v>
      </c>
      <c r="E841">
        <v>172.62799999999999</v>
      </c>
      <c r="F841">
        <v>0</v>
      </c>
      <c r="G841">
        <f>423.59327+0.1</f>
        <v>423.69327000000004</v>
      </c>
      <c r="I841">
        <f t="shared" si="52"/>
        <v>0</v>
      </c>
      <c r="J841">
        <f t="shared" si="53"/>
        <v>0</v>
      </c>
      <c r="K841">
        <f t="shared" si="54"/>
        <v>3454.9501450220296</v>
      </c>
      <c r="L841">
        <f t="shared" si="55"/>
        <v>0</v>
      </c>
    </row>
    <row r="842" spans="1:12" x14ac:dyDescent="0.35">
      <c r="A842" s="1" t="s">
        <v>67</v>
      </c>
      <c r="B842">
        <v>0.21199999999999999</v>
      </c>
      <c r="C842">
        <v>0</v>
      </c>
      <c r="D842">
        <v>2.47240752</v>
      </c>
      <c r="E842">
        <v>0</v>
      </c>
      <c r="F842">
        <v>0</v>
      </c>
      <c r="G842">
        <v>423.98027000000002</v>
      </c>
      <c r="I842">
        <f t="shared" si="52"/>
        <v>0</v>
      </c>
      <c r="J842">
        <f t="shared" si="53"/>
        <v>49.48238246273813</v>
      </c>
      <c r="K842">
        <f t="shared" si="54"/>
        <v>0</v>
      </c>
      <c r="L842">
        <f t="shared" si="55"/>
        <v>0</v>
      </c>
    </row>
    <row r="843" spans="1:12" x14ac:dyDescent="0.35">
      <c r="A843" s="1" t="s">
        <v>68</v>
      </c>
      <c r="B843">
        <v>0.09</v>
      </c>
      <c r="C843">
        <v>0</v>
      </c>
      <c r="D843">
        <v>0</v>
      </c>
      <c r="E843">
        <v>0</v>
      </c>
      <c r="F843">
        <v>-13632</v>
      </c>
      <c r="G843">
        <v>424.13027</v>
      </c>
      <c r="I843">
        <f t="shared" si="52"/>
        <v>0</v>
      </c>
      <c r="J843">
        <f t="shared" si="53"/>
        <v>0</v>
      </c>
      <c r="K843">
        <f t="shared" si="54"/>
        <v>0</v>
      </c>
      <c r="L843">
        <f t="shared" si="55"/>
        <v>-272828.74375501258</v>
      </c>
    </row>
    <row r="844" spans="1:12" x14ac:dyDescent="0.35">
      <c r="A844" s="1" t="s">
        <v>69</v>
      </c>
      <c r="B844">
        <v>0.16600000000000001</v>
      </c>
      <c r="C844">
        <v>0</v>
      </c>
      <c r="D844">
        <v>0</v>
      </c>
      <c r="E844">
        <v>-202.23429300000001</v>
      </c>
      <c r="F844">
        <v>0</v>
      </c>
      <c r="G844">
        <v>424.74712</v>
      </c>
      <c r="I844">
        <f t="shared" si="52"/>
        <v>0</v>
      </c>
      <c r="J844">
        <f t="shared" si="53"/>
        <v>0</v>
      </c>
      <c r="K844">
        <f t="shared" si="54"/>
        <v>-4047.4859230760812</v>
      </c>
      <c r="L844">
        <f t="shared" si="55"/>
        <v>0</v>
      </c>
    </row>
    <row r="845" spans="1:12" x14ac:dyDescent="0.35">
      <c r="A845" s="1" t="s">
        <v>70</v>
      </c>
      <c r="B845">
        <v>0.21199999999999999</v>
      </c>
      <c r="C845">
        <v>0</v>
      </c>
      <c r="D845">
        <v>-2.53358734</v>
      </c>
      <c r="E845">
        <v>0</v>
      </c>
      <c r="F845">
        <v>0</v>
      </c>
      <c r="G845">
        <v>425.03411999999997</v>
      </c>
      <c r="I845">
        <f t="shared" si="52"/>
        <v>0</v>
      </c>
      <c r="J845">
        <f t="shared" si="53"/>
        <v>-50.706825936458621</v>
      </c>
      <c r="K845">
        <f t="shared" si="54"/>
        <v>0</v>
      </c>
      <c r="L845">
        <f t="shared" si="55"/>
        <v>0</v>
      </c>
    </row>
    <row r="846" spans="1:12" x14ac:dyDescent="0.35">
      <c r="A846" s="1" t="s">
        <v>20</v>
      </c>
      <c r="B846">
        <v>0.41782794400000001</v>
      </c>
      <c r="C846">
        <v>2.3392E-3</v>
      </c>
      <c r="D846">
        <v>0</v>
      </c>
      <c r="E846">
        <v>0</v>
      </c>
      <c r="F846">
        <v>0</v>
      </c>
      <c r="G846">
        <v>425.49894999999998</v>
      </c>
      <c r="I846">
        <f t="shared" si="52"/>
        <v>0.11204704805350077</v>
      </c>
      <c r="J846">
        <f t="shared" si="53"/>
        <v>0</v>
      </c>
      <c r="K846">
        <f t="shared" si="54"/>
        <v>0</v>
      </c>
      <c r="L846">
        <f t="shared" si="55"/>
        <v>0</v>
      </c>
    </row>
    <row r="847" spans="1:12" x14ac:dyDescent="0.35">
      <c r="A847" s="1" t="s">
        <v>21</v>
      </c>
      <c r="B847">
        <v>0.41782808399999999</v>
      </c>
      <c r="C847">
        <v>3.2192000000000002E-3</v>
      </c>
      <c r="D847">
        <v>0</v>
      </c>
      <c r="E847">
        <v>0</v>
      </c>
      <c r="F847">
        <v>0</v>
      </c>
      <c r="G847">
        <v>425.91678000000002</v>
      </c>
      <c r="I847">
        <f t="shared" si="52"/>
        <v>0.15419875865034546</v>
      </c>
      <c r="J847">
        <f t="shared" si="53"/>
        <v>0</v>
      </c>
      <c r="K847">
        <f t="shared" si="54"/>
        <v>0</v>
      </c>
      <c r="L847">
        <f t="shared" si="55"/>
        <v>0</v>
      </c>
    </row>
    <row r="848" spans="1:12" x14ac:dyDescent="0.35">
      <c r="A848" s="1" t="s">
        <v>22</v>
      </c>
      <c r="B848">
        <v>0.41782827500000003</v>
      </c>
      <c r="C848">
        <v>4.1392E-3</v>
      </c>
      <c r="D848">
        <v>0</v>
      </c>
      <c r="E848">
        <v>0</v>
      </c>
      <c r="F848">
        <v>0</v>
      </c>
      <c r="G848">
        <v>426.33460000000002</v>
      </c>
      <c r="I848">
        <f t="shared" si="52"/>
        <v>0.19826640470947862</v>
      </c>
      <c r="J848">
        <f t="shared" si="53"/>
        <v>0</v>
      </c>
      <c r="K848">
        <f t="shared" si="54"/>
        <v>0</v>
      </c>
      <c r="L848">
        <f t="shared" si="55"/>
        <v>0</v>
      </c>
    </row>
    <row r="849" spans="1:12" x14ac:dyDescent="0.35">
      <c r="A849" s="1" t="s">
        <v>23</v>
      </c>
      <c r="B849">
        <v>0.41782864199999997</v>
      </c>
      <c r="C849">
        <v>5.4992000000000001E-3</v>
      </c>
      <c r="D849">
        <v>0</v>
      </c>
      <c r="E849">
        <v>0</v>
      </c>
      <c r="F849">
        <v>0</v>
      </c>
      <c r="G849">
        <v>426.75243</v>
      </c>
      <c r="I849">
        <f t="shared" si="52"/>
        <v>0.26340975432619773</v>
      </c>
      <c r="J849">
        <f t="shared" si="53"/>
        <v>0</v>
      </c>
      <c r="K849">
        <f t="shared" si="54"/>
        <v>0</v>
      </c>
      <c r="L849">
        <f t="shared" si="55"/>
        <v>0</v>
      </c>
    </row>
    <row r="850" spans="1:12" x14ac:dyDescent="0.35">
      <c r="A850" s="1" t="s">
        <v>24</v>
      </c>
      <c r="B850">
        <v>0.41782941899999998</v>
      </c>
      <c r="C850">
        <v>7.6290999999999998E-3</v>
      </c>
      <c r="D850">
        <v>0</v>
      </c>
      <c r="E850">
        <v>0</v>
      </c>
      <c r="F850">
        <v>0</v>
      </c>
      <c r="G850">
        <v>427.17025999999998</v>
      </c>
      <c r="I850">
        <f t="shared" si="52"/>
        <v>0.36543053893202671</v>
      </c>
      <c r="J850">
        <f t="shared" si="53"/>
        <v>0</v>
      </c>
      <c r="K850">
        <f t="shared" si="54"/>
        <v>0</v>
      </c>
      <c r="L850">
        <f t="shared" si="55"/>
        <v>0</v>
      </c>
    </row>
    <row r="851" spans="1:12" x14ac:dyDescent="0.35">
      <c r="A851" s="1" t="s">
        <v>71</v>
      </c>
      <c r="B851">
        <v>0.3745</v>
      </c>
      <c r="C851">
        <v>0</v>
      </c>
      <c r="D851">
        <v>4.5116622</v>
      </c>
      <c r="E851">
        <v>0</v>
      </c>
      <c r="F851">
        <v>0</v>
      </c>
      <c r="G851">
        <v>427.69475999999997</v>
      </c>
      <c r="I851">
        <f t="shared" si="52"/>
        <v>0</v>
      </c>
      <c r="J851">
        <f t="shared" si="53"/>
        <v>90.29571084748946</v>
      </c>
      <c r="K851">
        <f t="shared" si="54"/>
        <v>0</v>
      </c>
      <c r="L851">
        <f t="shared" si="55"/>
        <v>0</v>
      </c>
    </row>
    <row r="852" spans="1:12" x14ac:dyDescent="0.35">
      <c r="A852" s="1" t="s">
        <v>72</v>
      </c>
      <c r="B852">
        <v>1.0280365199999999</v>
      </c>
      <c r="C852">
        <v>2.4767999999999998E-2</v>
      </c>
      <c r="D852">
        <v>-1.929</v>
      </c>
      <c r="E852">
        <v>0</v>
      </c>
      <c r="F852">
        <v>0</v>
      </c>
      <c r="G852">
        <v>428.81279999999998</v>
      </c>
      <c r="I852">
        <f t="shared" si="52"/>
        <v>0.48218416286837618</v>
      </c>
      <c r="J852">
        <f t="shared" si="53"/>
        <v>-38.606708238220314</v>
      </c>
      <c r="K852">
        <f t="shared" si="54"/>
        <v>0</v>
      </c>
      <c r="L852">
        <f t="shared" si="55"/>
        <v>0</v>
      </c>
    </row>
    <row r="853" spans="1:12" x14ac:dyDescent="0.35">
      <c r="A853" s="1" t="s">
        <v>73</v>
      </c>
      <c r="B853">
        <v>0.4975</v>
      </c>
      <c r="C853">
        <v>0</v>
      </c>
      <c r="D853">
        <v>4.61414189</v>
      </c>
      <c r="E853">
        <v>0</v>
      </c>
      <c r="F853">
        <v>0</v>
      </c>
      <c r="G853">
        <v>429.40030000000002</v>
      </c>
      <c r="I853">
        <f t="shared" si="52"/>
        <v>0</v>
      </c>
      <c r="J853">
        <f t="shared" si="53"/>
        <v>92.346723544313335</v>
      </c>
      <c r="K853">
        <f t="shared" si="54"/>
        <v>0</v>
      </c>
      <c r="L853">
        <f t="shared" si="55"/>
        <v>0</v>
      </c>
    </row>
    <row r="854" spans="1:12" x14ac:dyDescent="0.35">
      <c r="A854" s="1" t="s">
        <v>28</v>
      </c>
      <c r="B854">
        <v>0.1</v>
      </c>
      <c r="C854">
        <v>0</v>
      </c>
      <c r="D854">
        <v>0</v>
      </c>
      <c r="E854">
        <v>0</v>
      </c>
      <c r="F854">
        <v>0</v>
      </c>
      <c r="G854">
        <v>429.57137</v>
      </c>
      <c r="I854">
        <f t="shared" si="52"/>
        <v>0</v>
      </c>
      <c r="J854">
        <f t="shared" si="53"/>
        <v>0</v>
      </c>
      <c r="K854">
        <f t="shared" si="54"/>
        <v>0</v>
      </c>
      <c r="L854">
        <f t="shared" si="55"/>
        <v>0</v>
      </c>
    </row>
    <row r="855" spans="1:12" x14ac:dyDescent="0.35">
      <c r="A855" s="1" t="s">
        <v>74</v>
      </c>
      <c r="B855">
        <v>0.40000102700000001</v>
      </c>
      <c r="C855">
        <v>5.2300999999999997E-3</v>
      </c>
      <c r="D855">
        <v>-1.5815999999999999</v>
      </c>
      <c r="E855">
        <v>0</v>
      </c>
      <c r="F855">
        <v>0</v>
      </c>
      <c r="G855">
        <v>430.06437</v>
      </c>
      <c r="I855">
        <f t="shared" si="52"/>
        <v>0.26168536331815889</v>
      </c>
      <c r="J855">
        <f t="shared" si="53"/>
        <v>-31.653898263125576</v>
      </c>
      <c r="K855">
        <f t="shared" si="54"/>
        <v>0</v>
      </c>
      <c r="L855">
        <f t="shared" si="55"/>
        <v>0</v>
      </c>
    </row>
    <row r="856" spans="1:12" x14ac:dyDescent="0.35">
      <c r="A856" s="1" t="s">
        <v>30</v>
      </c>
      <c r="B856">
        <v>2.44294E-2</v>
      </c>
      <c r="C856">
        <v>1.0499000000000001E-3</v>
      </c>
      <c r="D856">
        <v>0</v>
      </c>
      <c r="E856">
        <v>0</v>
      </c>
      <c r="F856">
        <v>0</v>
      </c>
      <c r="G856">
        <v>430.15929999999997</v>
      </c>
      <c r="I856">
        <f t="shared" si="52"/>
        <v>0.8601331402616047</v>
      </c>
      <c r="J856">
        <f t="shared" si="53"/>
        <v>0</v>
      </c>
      <c r="K856">
        <f t="shared" si="54"/>
        <v>0</v>
      </c>
      <c r="L856">
        <f t="shared" si="55"/>
        <v>0</v>
      </c>
    </row>
    <row r="857" spans="1:12" x14ac:dyDescent="0.35">
      <c r="A857" s="1" t="s">
        <v>30</v>
      </c>
      <c r="B857">
        <v>2.44294E-2</v>
      </c>
      <c r="C857">
        <v>1.0499000000000001E-3</v>
      </c>
      <c r="D857">
        <v>0</v>
      </c>
      <c r="E857">
        <v>0</v>
      </c>
      <c r="F857">
        <v>0</v>
      </c>
      <c r="G857">
        <f>430.1593+0.0244294</f>
        <v>430.18372939999995</v>
      </c>
      <c r="I857">
        <f t="shared" si="52"/>
        <v>0.8601331402616047</v>
      </c>
      <c r="J857">
        <f t="shared" si="53"/>
        <v>0</v>
      </c>
      <c r="K857">
        <f t="shared" si="54"/>
        <v>0</v>
      </c>
      <c r="L857">
        <f t="shared" si="55"/>
        <v>0</v>
      </c>
    </row>
    <row r="858" spans="1:12" x14ac:dyDescent="0.35">
      <c r="A858" s="1" t="s">
        <v>75</v>
      </c>
      <c r="B858">
        <v>0.40000102700000001</v>
      </c>
      <c r="C858">
        <v>5.2300999999999997E-3</v>
      </c>
      <c r="D858">
        <v>-1.5815999999999999</v>
      </c>
      <c r="E858">
        <v>0</v>
      </c>
      <c r="F858">
        <v>0</v>
      </c>
      <c r="G858">
        <v>430.65422999999998</v>
      </c>
      <c r="I858">
        <f t="shared" si="52"/>
        <v>0.26168536331815889</v>
      </c>
      <c r="J858">
        <f t="shared" si="53"/>
        <v>-31.653898263125576</v>
      </c>
      <c r="K858">
        <f t="shared" si="54"/>
        <v>0</v>
      </c>
      <c r="L858">
        <f t="shared" si="55"/>
        <v>0</v>
      </c>
    </row>
    <row r="859" spans="1:12" x14ac:dyDescent="0.35">
      <c r="A859" s="1" t="s">
        <v>76</v>
      </c>
      <c r="B859">
        <v>0.4975</v>
      </c>
      <c r="C859">
        <v>0</v>
      </c>
      <c r="D859">
        <v>4.61414189</v>
      </c>
      <c r="E859">
        <v>0</v>
      </c>
      <c r="F859">
        <v>0</v>
      </c>
      <c r="G859">
        <v>431.41579999999999</v>
      </c>
      <c r="I859">
        <f t="shared" si="52"/>
        <v>0</v>
      </c>
      <c r="J859">
        <f t="shared" si="53"/>
        <v>92.346723544313335</v>
      </c>
      <c r="K859">
        <f t="shared" si="54"/>
        <v>0</v>
      </c>
      <c r="L859">
        <f t="shared" si="55"/>
        <v>0</v>
      </c>
    </row>
    <row r="860" spans="1:12" x14ac:dyDescent="0.35">
      <c r="A860" s="1" t="s">
        <v>77</v>
      </c>
      <c r="B860">
        <v>1.0280365199999999</v>
      </c>
      <c r="C860">
        <v>2.4767999999999998E-2</v>
      </c>
      <c r="D860">
        <v>-1.929</v>
      </c>
      <c r="E860">
        <v>0</v>
      </c>
      <c r="F860">
        <v>0</v>
      </c>
      <c r="G860">
        <v>432.53384</v>
      </c>
      <c r="I860">
        <f t="shared" si="52"/>
        <v>0.48218416286837618</v>
      </c>
      <c r="J860">
        <f t="shared" si="53"/>
        <v>-38.606708238220314</v>
      </c>
      <c r="K860">
        <f t="shared" si="54"/>
        <v>0</v>
      </c>
      <c r="L860">
        <f t="shared" si="55"/>
        <v>0</v>
      </c>
    </row>
    <row r="861" spans="1:12" x14ac:dyDescent="0.35">
      <c r="A861" s="1" t="s">
        <v>78</v>
      </c>
      <c r="B861">
        <v>0.3745</v>
      </c>
      <c r="C861">
        <v>0</v>
      </c>
      <c r="D861">
        <v>4.5116622</v>
      </c>
      <c r="E861">
        <v>0</v>
      </c>
      <c r="F861">
        <v>0</v>
      </c>
      <c r="G861">
        <v>432.99833999999998</v>
      </c>
      <c r="I861">
        <f t="shared" si="52"/>
        <v>0</v>
      </c>
      <c r="J861">
        <f t="shared" si="53"/>
        <v>90.29571084748946</v>
      </c>
      <c r="K861">
        <f t="shared" si="54"/>
        <v>0</v>
      </c>
      <c r="L861">
        <f t="shared" si="55"/>
        <v>0</v>
      </c>
    </row>
    <row r="862" spans="1:12" x14ac:dyDescent="0.35">
      <c r="A862" s="1" t="s">
        <v>35</v>
      </c>
      <c r="B862">
        <v>0.41782941899999998</v>
      </c>
      <c r="C862">
        <v>7.6290999999999998E-3</v>
      </c>
      <c r="D862">
        <v>0</v>
      </c>
      <c r="E862">
        <v>0</v>
      </c>
      <c r="F862">
        <v>0</v>
      </c>
      <c r="G862">
        <v>433.56617</v>
      </c>
      <c r="I862">
        <f t="shared" si="52"/>
        <v>0.36543053893202671</v>
      </c>
      <c r="J862">
        <f t="shared" si="53"/>
        <v>0</v>
      </c>
      <c r="K862">
        <f t="shared" si="54"/>
        <v>0</v>
      </c>
      <c r="L862">
        <f t="shared" si="55"/>
        <v>0</v>
      </c>
    </row>
    <row r="863" spans="1:12" x14ac:dyDescent="0.35">
      <c r="A863" s="1" t="s">
        <v>36</v>
      </c>
      <c r="B863">
        <v>0.41782864199999997</v>
      </c>
      <c r="C863">
        <v>5.4992000000000001E-3</v>
      </c>
      <c r="D863">
        <v>0</v>
      </c>
      <c r="E863">
        <v>0</v>
      </c>
      <c r="F863">
        <v>0</v>
      </c>
      <c r="G863">
        <v>433.98399999999998</v>
      </c>
      <c r="I863">
        <f t="shared" si="52"/>
        <v>0.26340975432619773</v>
      </c>
      <c r="J863">
        <f t="shared" si="53"/>
        <v>0</v>
      </c>
      <c r="K863">
        <f t="shared" si="54"/>
        <v>0</v>
      </c>
      <c r="L863">
        <f t="shared" si="55"/>
        <v>0</v>
      </c>
    </row>
    <row r="864" spans="1:12" x14ac:dyDescent="0.35">
      <c r="A864" s="1" t="s">
        <v>37</v>
      </c>
      <c r="B864">
        <v>0.41782827500000003</v>
      </c>
      <c r="C864">
        <v>4.1392E-3</v>
      </c>
      <c r="D864">
        <v>0</v>
      </c>
      <c r="E864">
        <v>0</v>
      </c>
      <c r="F864">
        <v>0</v>
      </c>
      <c r="G864">
        <v>434.40181999999999</v>
      </c>
      <c r="I864">
        <f t="shared" si="52"/>
        <v>0.19826640470947862</v>
      </c>
      <c r="J864">
        <f t="shared" si="53"/>
        <v>0</v>
      </c>
      <c r="K864">
        <f t="shared" si="54"/>
        <v>0</v>
      </c>
      <c r="L864">
        <f t="shared" si="55"/>
        <v>0</v>
      </c>
    </row>
    <row r="865" spans="1:12" x14ac:dyDescent="0.35">
      <c r="A865" s="1" t="s">
        <v>38</v>
      </c>
      <c r="B865">
        <v>0.41782808399999999</v>
      </c>
      <c r="C865">
        <v>3.2192000000000002E-3</v>
      </c>
      <c r="D865">
        <v>0</v>
      </c>
      <c r="E865">
        <v>0</v>
      </c>
      <c r="F865">
        <v>0</v>
      </c>
      <c r="G865">
        <v>434.81965000000002</v>
      </c>
      <c r="I865">
        <f t="shared" si="52"/>
        <v>0.15419875865034546</v>
      </c>
      <c r="J865">
        <f t="shared" si="53"/>
        <v>0</v>
      </c>
      <c r="K865">
        <f t="shared" si="54"/>
        <v>0</v>
      </c>
      <c r="L865">
        <f t="shared" si="55"/>
        <v>0</v>
      </c>
    </row>
    <row r="866" spans="1:12" x14ac:dyDescent="0.35">
      <c r="A866" s="1" t="s">
        <v>39</v>
      </c>
      <c r="B866">
        <v>0.41782794400000001</v>
      </c>
      <c r="C866">
        <v>2.3392E-3</v>
      </c>
      <c r="D866">
        <v>0</v>
      </c>
      <c r="E866">
        <v>0</v>
      </c>
      <c r="F866">
        <v>0</v>
      </c>
      <c r="G866">
        <v>435.23748000000001</v>
      </c>
      <c r="I866">
        <f t="shared" si="52"/>
        <v>0.11204704805350077</v>
      </c>
      <c r="J866">
        <f t="shared" si="53"/>
        <v>0</v>
      </c>
      <c r="K866">
        <f t="shared" si="54"/>
        <v>0</v>
      </c>
      <c r="L866">
        <f t="shared" si="55"/>
        <v>0</v>
      </c>
    </row>
    <row r="867" spans="1:12" x14ac:dyDescent="0.35">
      <c r="A867" s="1" t="s">
        <v>79</v>
      </c>
      <c r="B867">
        <v>0.21199999999999999</v>
      </c>
      <c r="C867">
        <v>0</v>
      </c>
      <c r="D867">
        <v>-2.53358734</v>
      </c>
      <c r="E867">
        <v>0</v>
      </c>
      <c r="F867">
        <v>0</v>
      </c>
      <c r="G867">
        <v>435.49648000000002</v>
      </c>
      <c r="I867">
        <f t="shared" si="52"/>
        <v>0</v>
      </c>
      <c r="J867">
        <f t="shared" si="53"/>
        <v>-50.706825936458621</v>
      </c>
      <c r="K867">
        <f t="shared" si="54"/>
        <v>0</v>
      </c>
      <c r="L867">
        <f t="shared" si="55"/>
        <v>0</v>
      </c>
    </row>
    <row r="868" spans="1:12" x14ac:dyDescent="0.35">
      <c r="A868" s="1" t="s">
        <v>80</v>
      </c>
      <c r="B868">
        <v>0.16600000000000001</v>
      </c>
      <c r="C868">
        <v>0</v>
      </c>
      <c r="D868">
        <v>0</v>
      </c>
      <c r="E868">
        <v>-202.23429300000001</v>
      </c>
      <c r="F868">
        <v>0</v>
      </c>
      <c r="G868">
        <v>435.73748000000001</v>
      </c>
      <c r="I868">
        <f t="shared" si="52"/>
        <v>0</v>
      </c>
      <c r="J868">
        <f t="shared" si="53"/>
        <v>0</v>
      </c>
      <c r="K868">
        <f t="shared" si="54"/>
        <v>-4047.4859230760812</v>
      </c>
      <c r="L868">
        <f t="shared" si="55"/>
        <v>0</v>
      </c>
    </row>
    <row r="869" spans="1:12" x14ac:dyDescent="0.35">
      <c r="A869" s="1" t="s">
        <v>81</v>
      </c>
      <c r="B869">
        <v>0.09</v>
      </c>
      <c r="C869">
        <v>0</v>
      </c>
      <c r="D869">
        <v>0</v>
      </c>
      <c r="E869">
        <v>0</v>
      </c>
      <c r="F869">
        <v>-13632</v>
      </c>
      <c r="G869">
        <v>436.27832999999998</v>
      </c>
      <c r="I869">
        <f t="shared" si="52"/>
        <v>0</v>
      </c>
      <c r="J869">
        <f t="shared" si="53"/>
        <v>0</v>
      </c>
      <c r="K869">
        <f t="shared" si="54"/>
        <v>0</v>
      </c>
      <c r="L869">
        <f t="shared" si="55"/>
        <v>-272828.74375501258</v>
      </c>
    </row>
    <row r="870" spans="1:12" x14ac:dyDescent="0.35">
      <c r="A870" s="1" t="s">
        <v>82</v>
      </c>
      <c r="B870">
        <v>0.21199999999999999</v>
      </c>
      <c r="C870">
        <v>0</v>
      </c>
      <c r="D870">
        <v>2.47240752</v>
      </c>
      <c r="E870">
        <v>0</v>
      </c>
      <c r="F870">
        <v>0</v>
      </c>
      <c r="G870">
        <v>436.55032999999997</v>
      </c>
      <c r="I870">
        <f t="shared" si="52"/>
        <v>0</v>
      </c>
      <c r="J870">
        <f t="shared" si="53"/>
        <v>49.48238246273813</v>
      </c>
      <c r="K870">
        <f t="shared" si="54"/>
        <v>0</v>
      </c>
      <c r="L870">
        <f t="shared" si="55"/>
        <v>0</v>
      </c>
    </row>
    <row r="871" spans="1:12" x14ac:dyDescent="0.35">
      <c r="A871" s="1" t="s">
        <v>83</v>
      </c>
      <c r="B871">
        <v>0.1</v>
      </c>
      <c r="C871">
        <v>0</v>
      </c>
      <c r="D871">
        <v>0</v>
      </c>
      <c r="E871">
        <v>172.62799999999999</v>
      </c>
      <c r="F871">
        <v>0</v>
      </c>
      <c r="G871">
        <v>436.72532999999999</v>
      </c>
      <c r="I871">
        <f t="shared" si="52"/>
        <v>0</v>
      </c>
      <c r="J871">
        <f t="shared" si="53"/>
        <v>0</v>
      </c>
      <c r="K871">
        <f t="shared" si="54"/>
        <v>3454.9501450220296</v>
      </c>
      <c r="L871">
        <f t="shared" si="55"/>
        <v>0</v>
      </c>
    </row>
    <row r="872" spans="1:12" x14ac:dyDescent="0.35">
      <c r="A872" s="1" t="s">
        <v>83</v>
      </c>
      <c r="B872">
        <v>0.1</v>
      </c>
      <c r="C872">
        <v>0</v>
      </c>
      <c r="D872">
        <v>0</v>
      </c>
      <c r="E872">
        <v>172.62799999999999</v>
      </c>
      <c r="F872">
        <v>0</v>
      </c>
      <c r="G872">
        <f>0.1+436.72533</f>
        <v>436.82533000000001</v>
      </c>
      <c r="I872">
        <f t="shared" si="52"/>
        <v>0</v>
      </c>
      <c r="J872">
        <f t="shared" si="53"/>
        <v>0</v>
      </c>
      <c r="K872">
        <f t="shared" si="54"/>
        <v>3454.9501450220296</v>
      </c>
      <c r="L872">
        <f t="shared" si="55"/>
        <v>0</v>
      </c>
    </row>
    <row r="873" spans="1:12" x14ac:dyDescent="0.35">
      <c r="A873" s="1" t="s">
        <v>84</v>
      </c>
      <c r="B873">
        <v>0.21199999999999999</v>
      </c>
      <c r="C873">
        <v>0</v>
      </c>
      <c r="D873">
        <v>2.47240752</v>
      </c>
      <c r="E873">
        <v>0</v>
      </c>
      <c r="F873">
        <v>0</v>
      </c>
      <c r="G873">
        <v>437.11232999999999</v>
      </c>
      <c r="I873">
        <f t="shared" si="52"/>
        <v>0</v>
      </c>
      <c r="J873">
        <f t="shared" si="53"/>
        <v>49.48238246273813</v>
      </c>
      <c r="K873">
        <f t="shared" si="54"/>
        <v>0</v>
      </c>
      <c r="L873">
        <f t="shared" si="55"/>
        <v>0</v>
      </c>
    </row>
    <row r="874" spans="1:12" x14ac:dyDescent="0.35">
      <c r="A874" s="1" t="s">
        <v>85</v>
      </c>
      <c r="B874">
        <v>0.16600000000000001</v>
      </c>
      <c r="C874">
        <v>0</v>
      </c>
      <c r="D874">
        <v>0</v>
      </c>
      <c r="E874">
        <v>-132.861086</v>
      </c>
      <c r="F874">
        <v>0</v>
      </c>
      <c r="G874">
        <v>437.87918999999999</v>
      </c>
      <c r="I874">
        <f t="shared" si="52"/>
        <v>0</v>
      </c>
      <c r="J874">
        <f t="shared" si="53"/>
        <v>0</v>
      </c>
      <c r="K874">
        <f t="shared" si="54"/>
        <v>-2659.0612666744933</v>
      </c>
      <c r="L874">
        <f t="shared" si="55"/>
        <v>0</v>
      </c>
    </row>
    <row r="875" spans="1:12" x14ac:dyDescent="0.35">
      <c r="A875" s="1" t="s">
        <v>86</v>
      </c>
      <c r="B875">
        <v>0.21199999999999999</v>
      </c>
      <c r="C875">
        <v>0</v>
      </c>
      <c r="D875">
        <v>-2.3709669899999999</v>
      </c>
      <c r="E875">
        <v>0</v>
      </c>
      <c r="F875">
        <v>0</v>
      </c>
      <c r="G875">
        <v>438.16618999999997</v>
      </c>
      <c r="I875">
        <f t="shared" si="52"/>
        <v>0</v>
      </c>
      <c r="J875">
        <f t="shared" si="53"/>
        <v>-47.452167353748784</v>
      </c>
      <c r="K875">
        <f t="shared" si="54"/>
        <v>0</v>
      </c>
      <c r="L875">
        <f t="shared" si="55"/>
        <v>0</v>
      </c>
    </row>
    <row r="876" spans="1:12" x14ac:dyDescent="0.35">
      <c r="A876" s="1" t="s">
        <v>48</v>
      </c>
      <c r="B876">
        <v>0.41782794400000001</v>
      </c>
      <c r="C876">
        <v>2.3392E-3</v>
      </c>
      <c r="D876">
        <v>0</v>
      </c>
      <c r="E876">
        <v>0</v>
      </c>
      <c r="F876">
        <v>0</v>
      </c>
      <c r="G876">
        <v>438.63101</v>
      </c>
      <c r="I876">
        <f t="shared" si="52"/>
        <v>0.11204704805350077</v>
      </c>
      <c r="J876">
        <f t="shared" si="53"/>
        <v>0</v>
      </c>
      <c r="K876">
        <f t="shared" si="54"/>
        <v>0</v>
      </c>
      <c r="L876">
        <f t="shared" si="55"/>
        <v>0</v>
      </c>
    </row>
    <row r="877" spans="1:12" x14ac:dyDescent="0.35">
      <c r="A877" s="1" t="s">
        <v>49</v>
      </c>
      <c r="B877">
        <v>0.41782808399999999</v>
      </c>
      <c r="C877">
        <v>3.2192000000000002E-3</v>
      </c>
      <c r="D877">
        <v>0</v>
      </c>
      <c r="E877">
        <v>0</v>
      </c>
      <c r="F877">
        <v>0</v>
      </c>
      <c r="G877">
        <v>439.04883999999998</v>
      </c>
      <c r="I877">
        <f t="shared" si="52"/>
        <v>0.15419875865034546</v>
      </c>
      <c r="J877">
        <f t="shared" si="53"/>
        <v>0</v>
      </c>
      <c r="K877">
        <f t="shared" si="54"/>
        <v>0</v>
      </c>
      <c r="L877">
        <f t="shared" si="55"/>
        <v>0</v>
      </c>
    </row>
    <row r="878" spans="1:12" x14ac:dyDescent="0.35">
      <c r="A878" s="1" t="s">
        <v>50</v>
      </c>
      <c r="B878">
        <v>0.41782827500000003</v>
      </c>
      <c r="C878">
        <v>4.1392E-3</v>
      </c>
      <c r="D878">
        <v>0</v>
      </c>
      <c r="E878">
        <v>0</v>
      </c>
      <c r="F878">
        <v>0</v>
      </c>
      <c r="G878">
        <v>439.46667000000002</v>
      </c>
      <c r="I878">
        <f t="shared" si="52"/>
        <v>0.19826640470947862</v>
      </c>
      <c r="J878">
        <f t="shared" si="53"/>
        <v>0</v>
      </c>
      <c r="K878">
        <f t="shared" si="54"/>
        <v>0</v>
      </c>
      <c r="L878">
        <f t="shared" si="55"/>
        <v>0</v>
      </c>
    </row>
    <row r="879" spans="1:12" x14ac:dyDescent="0.35">
      <c r="A879" s="1" t="s">
        <v>51</v>
      </c>
      <c r="B879">
        <v>0.41782864199999997</v>
      </c>
      <c r="C879">
        <v>5.4992000000000001E-3</v>
      </c>
      <c r="D879">
        <v>0</v>
      </c>
      <c r="E879">
        <v>0</v>
      </c>
      <c r="F879">
        <v>0</v>
      </c>
      <c r="G879">
        <v>439.8845</v>
      </c>
      <c r="I879">
        <f t="shared" si="52"/>
        <v>0.26340975432619773</v>
      </c>
      <c r="J879">
        <f t="shared" si="53"/>
        <v>0</v>
      </c>
      <c r="K879">
        <f t="shared" si="54"/>
        <v>0</v>
      </c>
      <c r="L879">
        <f t="shared" si="55"/>
        <v>0</v>
      </c>
    </row>
    <row r="880" spans="1:12" x14ac:dyDescent="0.35">
      <c r="A880" s="1" t="s">
        <v>52</v>
      </c>
      <c r="B880">
        <v>0.41783028900000002</v>
      </c>
      <c r="C880">
        <v>9.4690999999999994E-3</v>
      </c>
      <c r="D880">
        <v>0</v>
      </c>
      <c r="E880">
        <v>0</v>
      </c>
      <c r="F880">
        <v>0</v>
      </c>
      <c r="G880">
        <v>440.30232999999998</v>
      </c>
      <c r="I880">
        <f t="shared" si="52"/>
        <v>0.45356478630764774</v>
      </c>
      <c r="J880">
        <f t="shared" si="53"/>
        <v>0</v>
      </c>
      <c r="K880">
        <f t="shared" si="54"/>
        <v>0</v>
      </c>
      <c r="L880">
        <f t="shared" si="55"/>
        <v>0</v>
      </c>
    </row>
    <row r="881" spans="1:12" x14ac:dyDescent="0.35">
      <c r="A881" s="1" t="s">
        <v>87</v>
      </c>
      <c r="B881">
        <v>0.16200000000000001</v>
      </c>
      <c r="C881">
        <v>0</v>
      </c>
      <c r="D881">
        <v>-2.8698264299999998</v>
      </c>
      <c r="E881">
        <v>0</v>
      </c>
      <c r="F881">
        <v>0</v>
      </c>
      <c r="G881">
        <v>440.51132999999999</v>
      </c>
      <c r="I881">
        <f t="shared" si="52"/>
        <v>0</v>
      </c>
      <c r="J881">
        <f t="shared" si="53"/>
        <v>-57.436263181619168</v>
      </c>
      <c r="K881">
        <f t="shared" si="54"/>
        <v>0</v>
      </c>
      <c r="L881">
        <f t="shared" si="55"/>
        <v>0</v>
      </c>
    </row>
    <row r="882" spans="1:12" x14ac:dyDescent="0.35">
      <c r="A882" s="1" t="s">
        <v>54</v>
      </c>
      <c r="B882">
        <v>0.1</v>
      </c>
      <c r="C882">
        <v>0</v>
      </c>
      <c r="D882">
        <v>0</v>
      </c>
      <c r="E882">
        <v>0</v>
      </c>
      <c r="F882">
        <v>0</v>
      </c>
      <c r="G882">
        <v>440.84133000000003</v>
      </c>
      <c r="I882">
        <f t="shared" si="52"/>
        <v>0</v>
      </c>
      <c r="J882">
        <f t="shared" si="53"/>
        <v>0</v>
      </c>
      <c r="K882">
        <f t="shared" si="54"/>
        <v>0</v>
      </c>
      <c r="L882">
        <f t="shared" si="55"/>
        <v>0</v>
      </c>
    </row>
    <row r="883" spans="1:12" x14ac:dyDescent="0.35">
      <c r="A883" s="1" t="s">
        <v>88</v>
      </c>
      <c r="B883">
        <v>0.29499999999999998</v>
      </c>
      <c r="C883">
        <v>0</v>
      </c>
      <c r="D883">
        <v>2.43875777</v>
      </c>
      <c r="E883">
        <v>0</v>
      </c>
      <c r="F883">
        <v>0</v>
      </c>
      <c r="G883">
        <v>441.24633</v>
      </c>
      <c r="I883">
        <f t="shared" si="52"/>
        <v>0</v>
      </c>
      <c r="J883">
        <f t="shared" si="53"/>
        <v>48.808921560436907</v>
      </c>
      <c r="K883">
        <f t="shared" si="54"/>
        <v>0</v>
      </c>
      <c r="L883">
        <f t="shared" si="55"/>
        <v>0</v>
      </c>
    </row>
    <row r="884" spans="1:12" x14ac:dyDescent="0.35">
      <c r="A884" s="1" t="s">
        <v>56</v>
      </c>
      <c r="B884">
        <v>0.29499999999999998</v>
      </c>
      <c r="C884">
        <v>0</v>
      </c>
      <c r="D884">
        <v>2.43875777</v>
      </c>
      <c r="E884">
        <v>0</v>
      </c>
      <c r="F884">
        <v>0</v>
      </c>
      <c r="G884">
        <v>447.11948000000001</v>
      </c>
      <c r="I884">
        <f t="shared" si="52"/>
        <v>0</v>
      </c>
      <c r="J884">
        <f t="shared" si="53"/>
        <v>48.808921560436907</v>
      </c>
      <c r="K884">
        <f t="shared" si="54"/>
        <v>0</v>
      </c>
      <c r="L884">
        <f t="shared" si="55"/>
        <v>0</v>
      </c>
    </row>
    <row r="885" spans="1:12" x14ac:dyDescent="0.35">
      <c r="A885" s="1" t="s">
        <v>2</v>
      </c>
      <c r="B885">
        <v>0.1</v>
      </c>
      <c r="C885">
        <v>0</v>
      </c>
      <c r="D885">
        <v>0</v>
      </c>
      <c r="E885">
        <v>0</v>
      </c>
      <c r="F885">
        <v>0</v>
      </c>
      <c r="G885">
        <v>447.32947999999999</v>
      </c>
      <c r="I885">
        <f t="shared" si="52"/>
        <v>0</v>
      </c>
      <c r="J885">
        <f t="shared" si="53"/>
        <v>0</v>
      </c>
      <c r="K885">
        <f t="shared" si="54"/>
        <v>0</v>
      </c>
      <c r="L885">
        <f t="shared" si="55"/>
        <v>0</v>
      </c>
    </row>
    <row r="886" spans="1:12" x14ac:dyDescent="0.35">
      <c r="A886" s="1" t="s">
        <v>57</v>
      </c>
      <c r="B886">
        <v>0.16200000000000001</v>
      </c>
      <c r="C886">
        <v>0</v>
      </c>
      <c r="D886">
        <v>-2.8698264299999998</v>
      </c>
      <c r="E886">
        <v>0</v>
      </c>
      <c r="F886">
        <v>0</v>
      </c>
      <c r="G886">
        <v>447.72147999999999</v>
      </c>
      <c r="I886">
        <f t="shared" si="52"/>
        <v>0</v>
      </c>
      <c r="J886">
        <f t="shared" si="53"/>
        <v>-57.436263181619168</v>
      </c>
      <c r="K886">
        <f t="shared" si="54"/>
        <v>0</v>
      </c>
      <c r="L886">
        <f t="shared" si="55"/>
        <v>0</v>
      </c>
    </row>
    <row r="887" spans="1:12" x14ac:dyDescent="0.35">
      <c r="A887" s="1" t="s">
        <v>58</v>
      </c>
      <c r="B887">
        <v>0.41783028900000002</v>
      </c>
      <c r="C887">
        <v>9.4690999999999994E-3</v>
      </c>
      <c r="D887">
        <v>0</v>
      </c>
      <c r="E887">
        <v>0</v>
      </c>
      <c r="F887">
        <v>0</v>
      </c>
      <c r="G887">
        <v>448.18630999999999</v>
      </c>
      <c r="I887">
        <f t="shared" si="52"/>
        <v>0.45356478630764774</v>
      </c>
      <c r="J887">
        <f t="shared" si="53"/>
        <v>0</v>
      </c>
      <c r="K887">
        <f t="shared" si="54"/>
        <v>0</v>
      </c>
      <c r="L887">
        <f t="shared" si="55"/>
        <v>0</v>
      </c>
    </row>
    <row r="888" spans="1:12" x14ac:dyDescent="0.35">
      <c r="A888" s="1" t="s">
        <v>59</v>
      </c>
      <c r="B888">
        <v>0.41782864199999997</v>
      </c>
      <c r="C888">
        <v>5.4992000000000001E-3</v>
      </c>
      <c r="D888">
        <v>0</v>
      </c>
      <c r="E888">
        <v>0</v>
      </c>
      <c r="F888">
        <v>0</v>
      </c>
      <c r="G888">
        <v>448.60413999999997</v>
      </c>
      <c r="I888">
        <f t="shared" si="52"/>
        <v>0.26340975432619773</v>
      </c>
      <c r="J888">
        <f t="shared" si="53"/>
        <v>0</v>
      </c>
      <c r="K888">
        <f t="shared" si="54"/>
        <v>0</v>
      </c>
      <c r="L888">
        <f t="shared" si="55"/>
        <v>0</v>
      </c>
    </row>
    <row r="889" spans="1:12" x14ac:dyDescent="0.35">
      <c r="A889" s="1" t="s">
        <v>60</v>
      </c>
      <c r="B889">
        <v>0.41782827500000003</v>
      </c>
      <c r="C889">
        <v>4.1392E-3</v>
      </c>
      <c r="D889">
        <v>0</v>
      </c>
      <c r="E889">
        <v>0</v>
      </c>
      <c r="F889">
        <v>0</v>
      </c>
      <c r="G889">
        <v>449.02197000000001</v>
      </c>
      <c r="I889">
        <f t="shared" si="52"/>
        <v>0.19826640470947862</v>
      </c>
      <c r="J889">
        <f t="shared" si="53"/>
        <v>0</v>
      </c>
      <c r="K889">
        <f t="shared" si="54"/>
        <v>0</v>
      </c>
      <c r="L889">
        <f t="shared" si="55"/>
        <v>0</v>
      </c>
    </row>
    <row r="890" spans="1:12" x14ac:dyDescent="0.35">
      <c r="A890" s="1" t="s">
        <v>61</v>
      </c>
      <c r="B890">
        <v>0.41782808399999999</v>
      </c>
      <c r="C890">
        <v>3.2192000000000002E-3</v>
      </c>
      <c r="D890">
        <v>0</v>
      </c>
      <c r="E890">
        <v>0</v>
      </c>
      <c r="F890">
        <v>0</v>
      </c>
      <c r="G890">
        <v>449.43979999999999</v>
      </c>
      <c r="I890">
        <f t="shared" si="52"/>
        <v>0.15419875865034546</v>
      </c>
      <c r="J890">
        <f t="shared" si="53"/>
        <v>0</v>
      </c>
      <c r="K890">
        <f t="shared" si="54"/>
        <v>0</v>
      </c>
      <c r="L890">
        <f t="shared" si="55"/>
        <v>0</v>
      </c>
    </row>
    <row r="891" spans="1:12" x14ac:dyDescent="0.35">
      <c r="A891" s="1" t="s">
        <v>62</v>
      </c>
      <c r="B891">
        <v>0.41782794400000001</v>
      </c>
      <c r="C891">
        <v>2.3392E-3</v>
      </c>
      <c r="D891">
        <v>0</v>
      </c>
      <c r="E891">
        <v>0</v>
      </c>
      <c r="F891">
        <v>0</v>
      </c>
      <c r="G891">
        <v>449.85762999999997</v>
      </c>
      <c r="I891">
        <f t="shared" si="52"/>
        <v>0.11204704805350077</v>
      </c>
      <c r="J891">
        <f t="shared" si="53"/>
        <v>0</v>
      </c>
      <c r="K891">
        <f t="shared" si="54"/>
        <v>0</v>
      </c>
      <c r="L891">
        <f t="shared" si="55"/>
        <v>0</v>
      </c>
    </row>
    <row r="892" spans="1:12" x14ac:dyDescent="0.35">
      <c r="A892" s="1" t="s">
        <v>63</v>
      </c>
      <c r="B892">
        <v>0.21199999999999999</v>
      </c>
      <c r="C892">
        <v>0</v>
      </c>
      <c r="D892">
        <v>-2.3709669899999999</v>
      </c>
      <c r="E892">
        <v>0</v>
      </c>
      <c r="F892">
        <v>0</v>
      </c>
      <c r="G892">
        <v>450.11662999999999</v>
      </c>
      <c r="I892">
        <f t="shared" si="52"/>
        <v>0</v>
      </c>
      <c r="J892">
        <f t="shared" si="53"/>
        <v>-47.452167353748784</v>
      </c>
      <c r="K892">
        <f t="shared" si="54"/>
        <v>0</v>
      </c>
      <c r="L892">
        <f t="shared" si="55"/>
        <v>0</v>
      </c>
    </row>
    <row r="893" spans="1:12" x14ac:dyDescent="0.35">
      <c r="A893" s="1" t="s">
        <v>64</v>
      </c>
      <c r="B893">
        <v>0.16600000000000001</v>
      </c>
      <c r="C893">
        <v>0</v>
      </c>
      <c r="D893">
        <v>0</v>
      </c>
      <c r="E893">
        <v>-132.861086</v>
      </c>
      <c r="F893">
        <v>0</v>
      </c>
      <c r="G893">
        <v>450.35762999999997</v>
      </c>
      <c r="I893">
        <f t="shared" si="52"/>
        <v>0</v>
      </c>
      <c r="J893">
        <f t="shared" si="53"/>
        <v>0</v>
      </c>
      <c r="K893">
        <f t="shared" si="54"/>
        <v>-2659.0612666744933</v>
      </c>
      <c r="L893">
        <f t="shared" si="55"/>
        <v>0</v>
      </c>
    </row>
    <row r="894" spans="1:12" x14ac:dyDescent="0.35">
      <c r="A894" s="1" t="s">
        <v>65</v>
      </c>
      <c r="B894">
        <v>0.21199999999999999</v>
      </c>
      <c r="C894">
        <v>0</v>
      </c>
      <c r="D894">
        <v>2.47240752</v>
      </c>
      <c r="E894">
        <v>0</v>
      </c>
      <c r="F894">
        <v>0</v>
      </c>
      <c r="G894">
        <v>451.17048</v>
      </c>
      <c r="I894">
        <f t="shared" si="52"/>
        <v>0</v>
      </c>
      <c r="J894">
        <f t="shared" si="53"/>
        <v>49.48238246273813</v>
      </c>
      <c r="K894">
        <f t="shared" si="54"/>
        <v>0</v>
      </c>
      <c r="L894">
        <f t="shared" si="55"/>
        <v>0</v>
      </c>
    </row>
    <row r="895" spans="1:12" x14ac:dyDescent="0.35">
      <c r="A895" s="1" t="s">
        <v>66</v>
      </c>
      <c r="B895">
        <v>0.1</v>
      </c>
      <c r="C895">
        <v>0</v>
      </c>
      <c r="D895">
        <v>0</v>
      </c>
      <c r="E895">
        <v>172.62799999999999</v>
      </c>
      <c r="F895">
        <v>0</v>
      </c>
      <c r="G895">
        <v>451.34548000000001</v>
      </c>
      <c r="I895">
        <f t="shared" si="52"/>
        <v>0</v>
      </c>
      <c r="J895">
        <f t="shared" si="53"/>
        <v>0</v>
      </c>
      <c r="K895">
        <f t="shared" si="54"/>
        <v>3454.9501450220296</v>
      </c>
      <c r="L895">
        <f t="shared" si="55"/>
        <v>0</v>
      </c>
    </row>
    <row r="896" spans="1:12" x14ac:dyDescent="0.35">
      <c r="A896" s="1" t="s">
        <v>66</v>
      </c>
      <c r="B896">
        <v>0.1</v>
      </c>
      <c r="C896">
        <v>0</v>
      </c>
      <c r="D896">
        <v>0</v>
      </c>
      <c r="E896">
        <v>172.62799999999999</v>
      </c>
      <c r="F896">
        <v>0</v>
      </c>
      <c r="G896">
        <f>451.34548+0.1</f>
        <v>451.44548000000003</v>
      </c>
      <c r="I896">
        <f t="shared" si="52"/>
        <v>0</v>
      </c>
      <c r="J896">
        <f t="shared" si="53"/>
        <v>0</v>
      </c>
      <c r="K896">
        <f t="shared" si="54"/>
        <v>3454.9501450220296</v>
      </c>
      <c r="L896">
        <f t="shared" si="55"/>
        <v>0</v>
      </c>
    </row>
    <row r="897" spans="1:12" x14ac:dyDescent="0.35">
      <c r="A897" s="1" t="s">
        <v>67</v>
      </c>
      <c r="B897">
        <v>0.21199999999999999</v>
      </c>
      <c r="C897">
        <v>0</v>
      </c>
      <c r="D897">
        <v>2.47240752</v>
      </c>
      <c r="E897">
        <v>0</v>
      </c>
      <c r="F897">
        <v>0</v>
      </c>
      <c r="G897">
        <v>451.73248000000001</v>
      </c>
      <c r="I897">
        <f t="shared" si="52"/>
        <v>0</v>
      </c>
      <c r="J897">
        <f t="shared" si="53"/>
        <v>49.48238246273813</v>
      </c>
      <c r="K897">
        <f t="shared" si="54"/>
        <v>0</v>
      </c>
      <c r="L897">
        <f t="shared" si="55"/>
        <v>0</v>
      </c>
    </row>
    <row r="898" spans="1:12" x14ac:dyDescent="0.35">
      <c r="A898" s="1" t="s">
        <v>68</v>
      </c>
      <c r="B898">
        <v>0.09</v>
      </c>
      <c r="C898">
        <v>0</v>
      </c>
      <c r="D898">
        <v>0</v>
      </c>
      <c r="E898">
        <v>0</v>
      </c>
      <c r="F898">
        <v>-13632</v>
      </c>
      <c r="G898">
        <v>451.88247999999999</v>
      </c>
      <c r="I898">
        <f t="shared" si="52"/>
        <v>0</v>
      </c>
      <c r="J898">
        <f t="shared" si="53"/>
        <v>0</v>
      </c>
      <c r="K898">
        <f t="shared" si="54"/>
        <v>0</v>
      </c>
      <c r="L898">
        <f t="shared" si="55"/>
        <v>-272828.74375501258</v>
      </c>
    </row>
    <row r="899" spans="1:12" x14ac:dyDescent="0.35">
      <c r="A899" s="1" t="s">
        <v>69</v>
      </c>
      <c r="B899">
        <v>0.16600000000000001</v>
      </c>
      <c r="C899">
        <v>0</v>
      </c>
      <c r="D899">
        <v>0</v>
      </c>
      <c r="E899">
        <v>-202.23429300000001</v>
      </c>
      <c r="F899">
        <v>0</v>
      </c>
      <c r="G899">
        <v>452.49932999999999</v>
      </c>
      <c r="I899">
        <f t="shared" si="52"/>
        <v>0</v>
      </c>
      <c r="J899">
        <f t="shared" si="53"/>
        <v>0</v>
      </c>
      <c r="K899">
        <f t="shared" si="54"/>
        <v>-4047.4859230760812</v>
      </c>
      <c r="L899">
        <f t="shared" si="55"/>
        <v>0</v>
      </c>
    </row>
    <row r="900" spans="1:12" x14ac:dyDescent="0.35">
      <c r="A900" s="1" t="s">
        <v>70</v>
      </c>
      <c r="B900">
        <v>0.21199999999999999</v>
      </c>
      <c r="C900">
        <v>0</v>
      </c>
      <c r="D900">
        <v>-2.53358734</v>
      </c>
      <c r="E900">
        <v>0</v>
      </c>
      <c r="F900">
        <v>0</v>
      </c>
      <c r="G900">
        <v>452.78633000000002</v>
      </c>
      <c r="I900">
        <f t="shared" ref="I900:I963" si="56">$H$2*$C900/$B900</f>
        <v>0</v>
      </c>
      <c r="J900">
        <f t="shared" ref="J900:J963" si="57">$H$2*$D900</f>
        <v>-50.706825936458621</v>
      </c>
      <c r="K900">
        <f t="shared" ref="K900:K963" si="58">$H$2*$E900</f>
        <v>0</v>
      </c>
      <c r="L900">
        <f t="shared" ref="L900:L963" si="59">$H$2*$F900</f>
        <v>0</v>
      </c>
    </row>
    <row r="901" spans="1:12" x14ac:dyDescent="0.35">
      <c r="A901" s="1" t="s">
        <v>20</v>
      </c>
      <c r="B901">
        <v>0.41782794400000001</v>
      </c>
      <c r="C901">
        <v>2.3392E-3</v>
      </c>
      <c r="D901">
        <v>0</v>
      </c>
      <c r="E901">
        <v>0</v>
      </c>
      <c r="F901">
        <v>0</v>
      </c>
      <c r="G901">
        <v>453.25116000000003</v>
      </c>
      <c r="I901">
        <f t="shared" si="56"/>
        <v>0.11204704805350077</v>
      </c>
      <c r="J901">
        <f t="shared" si="57"/>
        <v>0</v>
      </c>
      <c r="K901">
        <f t="shared" si="58"/>
        <v>0</v>
      </c>
      <c r="L901">
        <f t="shared" si="59"/>
        <v>0</v>
      </c>
    </row>
    <row r="902" spans="1:12" x14ac:dyDescent="0.35">
      <c r="A902" s="1" t="s">
        <v>21</v>
      </c>
      <c r="B902">
        <v>0.41782808399999999</v>
      </c>
      <c r="C902">
        <v>3.2192000000000002E-3</v>
      </c>
      <c r="D902">
        <v>0</v>
      </c>
      <c r="E902">
        <v>0</v>
      </c>
      <c r="F902">
        <v>0</v>
      </c>
      <c r="G902">
        <v>453.66899000000001</v>
      </c>
      <c r="I902">
        <f t="shared" si="56"/>
        <v>0.15419875865034546</v>
      </c>
      <c r="J902">
        <f t="shared" si="57"/>
        <v>0</v>
      </c>
      <c r="K902">
        <f t="shared" si="58"/>
        <v>0</v>
      </c>
      <c r="L902">
        <f t="shared" si="59"/>
        <v>0</v>
      </c>
    </row>
    <row r="903" spans="1:12" x14ac:dyDescent="0.35">
      <c r="A903" s="1" t="s">
        <v>22</v>
      </c>
      <c r="B903">
        <v>0.41782827500000003</v>
      </c>
      <c r="C903">
        <v>4.1392E-3</v>
      </c>
      <c r="D903">
        <v>0</v>
      </c>
      <c r="E903">
        <v>0</v>
      </c>
      <c r="F903">
        <v>0</v>
      </c>
      <c r="G903">
        <v>454.08681999999999</v>
      </c>
      <c r="I903">
        <f t="shared" si="56"/>
        <v>0.19826640470947862</v>
      </c>
      <c r="J903">
        <f t="shared" si="57"/>
        <v>0</v>
      </c>
      <c r="K903">
        <f t="shared" si="58"/>
        <v>0</v>
      </c>
      <c r="L903">
        <f t="shared" si="59"/>
        <v>0</v>
      </c>
    </row>
    <row r="904" spans="1:12" x14ac:dyDescent="0.35">
      <c r="A904" s="1" t="s">
        <v>23</v>
      </c>
      <c r="B904">
        <v>0.41782864199999997</v>
      </c>
      <c r="C904">
        <v>5.4992000000000001E-3</v>
      </c>
      <c r="D904">
        <v>0</v>
      </c>
      <c r="E904">
        <v>0</v>
      </c>
      <c r="F904">
        <v>0</v>
      </c>
      <c r="G904">
        <v>454.50465000000003</v>
      </c>
      <c r="I904">
        <f t="shared" si="56"/>
        <v>0.26340975432619773</v>
      </c>
      <c r="J904">
        <f t="shared" si="57"/>
        <v>0</v>
      </c>
      <c r="K904">
        <f t="shared" si="58"/>
        <v>0</v>
      </c>
      <c r="L904">
        <f t="shared" si="59"/>
        <v>0</v>
      </c>
    </row>
    <row r="905" spans="1:12" x14ac:dyDescent="0.35">
      <c r="A905" s="1" t="s">
        <v>24</v>
      </c>
      <c r="B905">
        <v>0.41782941899999998</v>
      </c>
      <c r="C905">
        <v>7.6290999999999998E-3</v>
      </c>
      <c r="D905">
        <v>0</v>
      </c>
      <c r="E905">
        <v>0</v>
      </c>
      <c r="F905">
        <v>0</v>
      </c>
      <c r="G905">
        <v>454.92248000000001</v>
      </c>
      <c r="I905">
        <f t="shared" si="56"/>
        <v>0.36543053893202671</v>
      </c>
      <c r="J905">
        <f t="shared" si="57"/>
        <v>0</v>
      </c>
      <c r="K905">
        <f t="shared" si="58"/>
        <v>0</v>
      </c>
      <c r="L905">
        <f t="shared" si="59"/>
        <v>0</v>
      </c>
    </row>
    <row r="906" spans="1:12" x14ac:dyDescent="0.35">
      <c r="A906" s="1" t="s">
        <v>71</v>
      </c>
      <c r="B906">
        <v>0.3745</v>
      </c>
      <c r="C906">
        <v>0</v>
      </c>
      <c r="D906">
        <v>4.5116622</v>
      </c>
      <c r="E906">
        <v>0</v>
      </c>
      <c r="F906">
        <v>0</v>
      </c>
      <c r="G906">
        <v>455.44698</v>
      </c>
      <c r="I906">
        <f t="shared" si="56"/>
        <v>0</v>
      </c>
      <c r="J906">
        <f t="shared" si="57"/>
        <v>90.29571084748946</v>
      </c>
      <c r="K906">
        <f t="shared" si="58"/>
        <v>0</v>
      </c>
      <c r="L906">
        <f t="shared" si="59"/>
        <v>0</v>
      </c>
    </row>
    <row r="907" spans="1:12" x14ac:dyDescent="0.35">
      <c r="A907" s="1" t="s">
        <v>72</v>
      </c>
      <c r="B907">
        <v>1.0280365199999999</v>
      </c>
      <c r="C907">
        <v>2.4767999999999998E-2</v>
      </c>
      <c r="D907">
        <v>-1.929</v>
      </c>
      <c r="E907">
        <v>0</v>
      </c>
      <c r="F907">
        <v>0</v>
      </c>
      <c r="G907">
        <v>456.56500999999997</v>
      </c>
      <c r="I907">
        <f t="shared" si="56"/>
        <v>0.48218416286837618</v>
      </c>
      <c r="J907">
        <f t="shared" si="57"/>
        <v>-38.606708238220314</v>
      </c>
      <c r="K907">
        <f t="shared" si="58"/>
        <v>0</v>
      </c>
      <c r="L907">
        <f t="shared" si="59"/>
        <v>0</v>
      </c>
    </row>
    <row r="908" spans="1:12" x14ac:dyDescent="0.35">
      <c r="A908" s="1" t="s">
        <v>73</v>
      </c>
      <c r="B908">
        <v>0.4975</v>
      </c>
      <c r="C908">
        <v>0</v>
      </c>
      <c r="D908">
        <v>4.61414189</v>
      </c>
      <c r="E908">
        <v>0</v>
      </c>
      <c r="F908">
        <v>0</v>
      </c>
      <c r="G908">
        <v>457.15251000000001</v>
      </c>
      <c r="I908">
        <f t="shared" si="56"/>
        <v>0</v>
      </c>
      <c r="J908">
        <f t="shared" si="57"/>
        <v>92.346723544313335</v>
      </c>
      <c r="K908">
        <f t="shared" si="58"/>
        <v>0</v>
      </c>
      <c r="L908">
        <f t="shared" si="59"/>
        <v>0</v>
      </c>
    </row>
    <row r="909" spans="1:12" x14ac:dyDescent="0.35">
      <c r="A909" s="1" t="s">
        <v>28</v>
      </c>
      <c r="B909">
        <v>0.1</v>
      </c>
      <c r="C909">
        <v>0</v>
      </c>
      <c r="D909">
        <v>0</v>
      </c>
      <c r="E909">
        <v>0</v>
      </c>
      <c r="F909">
        <v>0</v>
      </c>
      <c r="G909">
        <v>457.32357999999999</v>
      </c>
      <c r="I909">
        <f t="shared" si="56"/>
        <v>0</v>
      </c>
      <c r="J909">
        <f t="shared" si="57"/>
        <v>0</v>
      </c>
      <c r="K909">
        <f t="shared" si="58"/>
        <v>0</v>
      </c>
      <c r="L909">
        <f t="shared" si="59"/>
        <v>0</v>
      </c>
    </row>
    <row r="910" spans="1:12" x14ac:dyDescent="0.35">
      <c r="A910" s="1" t="s">
        <v>74</v>
      </c>
      <c r="B910">
        <v>0.40000102700000001</v>
      </c>
      <c r="C910">
        <v>5.2300999999999997E-3</v>
      </c>
      <c r="D910">
        <v>-1.5815999999999999</v>
      </c>
      <c r="E910">
        <v>0</v>
      </c>
      <c r="F910">
        <v>0</v>
      </c>
      <c r="G910">
        <v>457.81657999999999</v>
      </c>
      <c r="I910">
        <f t="shared" si="56"/>
        <v>0.26168536331815889</v>
      </c>
      <c r="J910">
        <f t="shared" si="57"/>
        <v>-31.653898263125576</v>
      </c>
      <c r="K910">
        <f t="shared" si="58"/>
        <v>0</v>
      </c>
      <c r="L910">
        <f t="shared" si="59"/>
        <v>0</v>
      </c>
    </row>
    <row r="911" spans="1:12" x14ac:dyDescent="0.35">
      <c r="A911" s="1" t="s">
        <v>30</v>
      </c>
      <c r="B911">
        <v>2.44294E-2</v>
      </c>
      <c r="C911">
        <v>1.0499000000000001E-3</v>
      </c>
      <c r="D911">
        <v>0</v>
      </c>
      <c r="E911">
        <v>0</v>
      </c>
      <c r="F911">
        <v>0</v>
      </c>
      <c r="G911">
        <v>457.91151000000002</v>
      </c>
      <c r="I911">
        <f t="shared" si="56"/>
        <v>0.8601331402616047</v>
      </c>
      <c r="J911">
        <f t="shared" si="57"/>
        <v>0</v>
      </c>
      <c r="K911">
        <f t="shared" si="58"/>
        <v>0</v>
      </c>
      <c r="L911">
        <f t="shared" si="59"/>
        <v>0</v>
      </c>
    </row>
    <row r="912" spans="1:12" x14ac:dyDescent="0.35">
      <c r="A912" s="1" t="s">
        <v>30</v>
      </c>
      <c r="B912">
        <v>2.44294E-2</v>
      </c>
      <c r="C912">
        <v>1.0499000000000001E-3</v>
      </c>
      <c r="D912">
        <v>0</v>
      </c>
      <c r="E912">
        <v>0</v>
      </c>
      <c r="F912">
        <v>0</v>
      </c>
      <c r="G912">
        <f>457.91151+0.0244294</f>
        <v>457.9359394</v>
      </c>
      <c r="I912">
        <f t="shared" si="56"/>
        <v>0.8601331402616047</v>
      </c>
      <c r="J912">
        <f t="shared" si="57"/>
        <v>0</v>
      </c>
      <c r="K912">
        <f t="shared" si="58"/>
        <v>0</v>
      </c>
      <c r="L912">
        <f t="shared" si="59"/>
        <v>0</v>
      </c>
    </row>
    <row r="913" spans="1:12" x14ac:dyDescent="0.35">
      <c r="A913" s="1" t="s">
        <v>75</v>
      </c>
      <c r="B913">
        <v>0.40000102700000001</v>
      </c>
      <c r="C913">
        <v>5.2300999999999997E-3</v>
      </c>
      <c r="D913">
        <v>-1.5815999999999999</v>
      </c>
      <c r="E913">
        <v>0</v>
      </c>
      <c r="F913">
        <v>0</v>
      </c>
      <c r="G913">
        <v>458.40643999999998</v>
      </c>
      <c r="I913">
        <f t="shared" si="56"/>
        <v>0.26168536331815889</v>
      </c>
      <c r="J913">
        <f t="shared" si="57"/>
        <v>-31.653898263125576</v>
      </c>
      <c r="K913">
        <f t="shared" si="58"/>
        <v>0</v>
      </c>
      <c r="L913">
        <f t="shared" si="59"/>
        <v>0</v>
      </c>
    </row>
    <row r="914" spans="1:12" x14ac:dyDescent="0.35">
      <c r="A914" s="1" t="s">
        <v>76</v>
      </c>
      <c r="B914">
        <v>0.4975</v>
      </c>
      <c r="C914">
        <v>0</v>
      </c>
      <c r="D914">
        <v>4.61414189</v>
      </c>
      <c r="E914">
        <v>0</v>
      </c>
      <c r="F914">
        <v>0</v>
      </c>
      <c r="G914">
        <v>459.16800999999998</v>
      </c>
      <c r="I914">
        <f t="shared" si="56"/>
        <v>0</v>
      </c>
      <c r="J914">
        <f t="shared" si="57"/>
        <v>92.346723544313335</v>
      </c>
      <c r="K914">
        <f t="shared" si="58"/>
        <v>0</v>
      </c>
      <c r="L914">
        <f t="shared" si="59"/>
        <v>0</v>
      </c>
    </row>
    <row r="915" spans="1:12" x14ac:dyDescent="0.35">
      <c r="A915" s="1" t="s">
        <v>77</v>
      </c>
      <c r="B915">
        <v>1.0280365199999999</v>
      </c>
      <c r="C915">
        <v>2.4767999999999998E-2</v>
      </c>
      <c r="D915">
        <v>-1.929</v>
      </c>
      <c r="E915">
        <v>0</v>
      </c>
      <c r="F915">
        <v>0</v>
      </c>
      <c r="G915">
        <v>460.28604999999999</v>
      </c>
      <c r="I915">
        <f t="shared" si="56"/>
        <v>0.48218416286837618</v>
      </c>
      <c r="J915">
        <f t="shared" si="57"/>
        <v>-38.606708238220314</v>
      </c>
      <c r="K915">
        <f t="shared" si="58"/>
        <v>0</v>
      </c>
      <c r="L915">
        <f t="shared" si="59"/>
        <v>0</v>
      </c>
    </row>
    <row r="916" spans="1:12" x14ac:dyDescent="0.35">
      <c r="A916" s="1" t="s">
        <v>78</v>
      </c>
      <c r="B916">
        <v>0.3745</v>
      </c>
      <c r="C916">
        <v>0</v>
      </c>
      <c r="D916">
        <v>4.5116622</v>
      </c>
      <c r="E916">
        <v>0</v>
      </c>
      <c r="F916">
        <v>0</v>
      </c>
      <c r="G916">
        <v>460.75054999999998</v>
      </c>
      <c r="I916">
        <f t="shared" si="56"/>
        <v>0</v>
      </c>
      <c r="J916">
        <f t="shared" si="57"/>
        <v>90.29571084748946</v>
      </c>
      <c r="K916">
        <f t="shared" si="58"/>
        <v>0</v>
      </c>
      <c r="L916">
        <f t="shared" si="59"/>
        <v>0</v>
      </c>
    </row>
    <row r="917" spans="1:12" x14ac:dyDescent="0.35">
      <c r="A917" s="1" t="s">
        <v>35</v>
      </c>
      <c r="B917">
        <v>0.41782941899999998</v>
      </c>
      <c r="C917">
        <v>7.6290999999999998E-3</v>
      </c>
      <c r="D917">
        <v>0</v>
      </c>
      <c r="E917">
        <v>0</v>
      </c>
      <c r="F917">
        <v>0</v>
      </c>
      <c r="G917">
        <v>461.31837999999999</v>
      </c>
      <c r="I917">
        <f t="shared" si="56"/>
        <v>0.36543053893202671</v>
      </c>
      <c r="J917">
        <f t="shared" si="57"/>
        <v>0</v>
      </c>
      <c r="K917">
        <f t="shared" si="58"/>
        <v>0</v>
      </c>
      <c r="L917">
        <f t="shared" si="59"/>
        <v>0</v>
      </c>
    </row>
    <row r="918" spans="1:12" x14ac:dyDescent="0.35">
      <c r="A918" s="1" t="s">
        <v>36</v>
      </c>
      <c r="B918">
        <v>0.41782864199999997</v>
      </c>
      <c r="C918">
        <v>5.4992000000000001E-3</v>
      </c>
      <c r="D918">
        <v>0</v>
      </c>
      <c r="E918">
        <v>0</v>
      </c>
      <c r="F918">
        <v>0</v>
      </c>
      <c r="G918">
        <v>461.73621000000003</v>
      </c>
      <c r="I918">
        <f t="shared" si="56"/>
        <v>0.26340975432619773</v>
      </c>
      <c r="J918">
        <f t="shared" si="57"/>
        <v>0</v>
      </c>
      <c r="K918">
        <f t="shared" si="58"/>
        <v>0</v>
      </c>
      <c r="L918">
        <f t="shared" si="59"/>
        <v>0</v>
      </c>
    </row>
    <row r="919" spans="1:12" x14ac:dyDescent="0.35">
      <c r="A919" s="1" t="s">
        <v>37</v>
      </c>
      <c r="B919">
        <v>0.41782827500000003</v>
      </c>
      <c r="C919">
        <v>4.1392E-3</v>
      </c>
      <c r="D919">
        <v>0</v>
      </c>
      <c r="E919">
        <v>0</v>
      </c>
      <c r="F919">
        <v>0</v>
      </c>
      <c r="G919">
        <v>462.15404000000001</v>
      </c>
      <c r="I919">
        <f t="shared" si="56"/>
        <v>0.19826640470947862</v>
      </c>
      <c r="J919">
        <f t="shared" si="57"/>
        <v>0</v>
      </c>
      <c r="K919">
        <f t="shared" si="58"/>
        <v>0</v>
      </c>
      <c r="L919">
        <f t="shared" si="59"/>
        <v>0</v>
      </c>
    </row>
    <row r="920" spans="1:12" x14ac:dyDescent="0.35">
      <c r="A920" s="1" t="s">
        <v>38</v>
      </c>
      <c r="B920">
        <v>0.41782808399999999</v>
      </c>
      <c r="C920">
        <v>3.2192000000000002E-3</v>
      </c>
      <c r="D920">
        <v>0</v>
      </c>
      <c r="E920">
        <v>0</v>
      </c>
      <c r="F920">
        <v>0</v>
      </c>
      <c r="G920">
        <v>462.57186000000002</v>
      </c>
      <c r="I920">
        <f t="shared" si="56"/>
        <v>0.15419875865034546</v>
      </c>
      <c r="J920">
        <f t="shared" si="57"/>
        <v>0</v>
      </c>
      <c r="K920">
        <f t="shared" si="58"/>
        <v>0</v>
      </c>
      <c r="L920">
        <f t="shared" si="59"/>
        <v>0</v>
      </c>
    </row>
    <row r="921" spans="1:12" x14ac:dyDescent="0.35">
      <c r="A921" s="1" t="s">
        <v>39</v>
      </c>
      <c r="B921">
        <v>0.41782794400000001</v>
      </c>
      <c r="C921">
        <v>2.3392E-3</v>
      </c>
      <c r="D921">
        <v>0</v>
      </c>
      <c r="E921">
        <v>0</v>
      </c>
      <c r="F921">
        <v>0</v>
      </c>
      <c r="G921">
        <v>462.98969</v>
      </c>
      <c r="I921">
        <f t="shared" si="56"/>
        <v>0.11204704805350077</v>
      </c>
      <c r="J921">
        <f t="shared" si="57"/>
        <v>0</v>
      </c>
      <c r="K921">
        <f t="shared" si="58"/>
        <v>0</v>
      </c>
      <c r="L921">
        <f t="shared" si="59"/>
        <v>0</v>
      </c>
    </row>
    <row r="922" spans="1:12" x14ac:dyDescent="0.35">
      <c r="A922" s="1" t="s">
        <v>79</v>
      </c>
      <c r="B922">
        <v>0.21199999999999999</v>
      </c>
      <c r="C922">
        <v>0</v>
      </c>
      <c r="D922">
        <v>-2.53358734</v>
      </c>
      <c r="E922">
        <v>0</v>
      </c>
      <c r="F922">
        <v>0</v>
      </c>
      <c r="G922">
        <v>463.24869000000001</v>
      </c>
      <c r="I922">
        <f t="shared" si="56"/>
        <v>0</v>
      </c>
      <c r="J922">
        <f t="shared" si="57"/>
        <v>-50.706825936458621</v>
      </c>
      <c r="K922">
        <f t="shared" si="58"/>
        <v>0</v>
      </c>
      <c r="L922">
        <f t="shared" si="59"/>
        <v>0</v>
      </c>
    </row>
    <row r="923" spans="1:12" x14ac:dyDescent="0.35">
      <c r="A923" s="1" t="s">
        <v>80</v>
      </c>
      <c r="B923">
        <v>0.16600000000000001</v>
      </c>
      <c r="C923">
        <v>0</v>
      </c>
      <c r="D923">
        <v>0</v>
      </c>
      <c r="E923">
        <v>-202.23429300000001</v>
      </c>
      <c r="F923">
        <v>0</v>
      </c>
      <c r="G923">
        <v>463.48969</v>
      </c>
      <c r="I923">
        <f t="shared" si="56"/>
        <v>0</v>
      </c>
      <c r="J923">
        <f t="shared" si="57"/>
        <v>0</v>
      </c>
      <c r="K923">
        <f t="shared" si="58"/>
        <v>-4047.4859230760812</v>
      </c>
      <c r="L923">
        <f t="shared" si="59"/>
        <v>0</v>
      </c>
    </row>
    <row r="924" spans="1:12" x14ac:dyDescent="0.35">
      <c r="A924" s="1" t="s">
        <v>81</v>
      </c>
      <c r="B924">
        <v>0.09</v>
      </c>
      <c r="C924">
        <v>0</v>
      </c>
      <c r="D924">
        <v>0</v>
      </c>
      <c r="E924">
        <v>0</v>
      </c>
      <c r="F924">
        <v>-13632</v>
      </c>
      <c r="G924">
        <v>464.03055000000001</v>
      </c>
      <c r="I924">
        <f t="shared" si="56"/>
        <v>0</v>
      </c>
      <c r="J924">
        <f t="shared" si="57"/>
        <v>0</v>
      </c>
      <c r="K924">
        <f t="shared" si="58"/>
        <v>0</v>
      </c>
      <c r="L924">
        <f t="shared" si="59"/>
        <v>-272828.74375501258</v>
      </c>
    </row>
    <row r="925" spans="1:12" x14ac:dyDescent="0.35">
      <c r="A925" s="1" t="s">
        <v>82</v>
      </c>
      <c r="B925">
        <v>0.21199999999999999</v>
      </c>
      <c r="C925">
        <v>0</v>
      </c>
      <c r="D925">
        <v>2.47240752</v>
      </c>
      <c r="E925">
        <v>0</v>
      </c>
      <c r="F925">
        <v>0</v>
      </c>
      <c r="G925">
        <v>464.30255</v>
      </c>
      <c r="I925">
        <f t="shared" si="56"/>
        <v>0</v>
      </c>
      <c r="J925">
        <f t="shared" si="57"/>
        <v>49.48238246273813</v>
      </c>
      <c r="K925">
        <f t="shared" si="58"/>
        <v>0</v>
      </c>
      <c r="L925">
        <f t="shared" si="59"/>
        <v>0</v>
      </c>
    </row>
    <row r="926" spans="1:12" x14ac:dyDescent="0.35">
      <c r="A926" s="1" t="s">
        <v>83</v>
      </c>
      <c r="B926">
        <v>0.1</v>
      </c>
      <c r="C926">
        <v>0</v>
      </c>
      <c r="D926">
        <v>0</v>
      </c>
      <c r="E926">
        <v>172.62799999999999</v>
      </c>
      <c r="F926">
        <v>0</v>
      </c>
      <c r="G926">
        <v>464.47755000000001</v>
      </c>
      <c r="I926">
        <f t="shared" si="56"/>
        <v>0</v>
      </c>
      <c r="J926">
        <f t="shared" si="57"/>
        <v>0</v>
      </c>
      <c r="K926">
        <f t="shared" si="58"/>
        <v>3454.9501450220296</v>
      </c>
      <c r="L926">
        <f t="shared" si="59"/>
        <v>0</v>
      </c>
    </row>
    <row r="927" spans="1:12" x14ac:dyDescent="0.35">
      <c r="A927" s="1" t="s">
        <v>83</v>
      </c>
      <c r="B927">
        <v>0.1</v>
      </c>
      <c r="C927">
        <v>0</v>
      </c>
      <c r="D927">
        <v>0</v>
      </c>
      <c r="E927">
        <v>172.62799999999999</v>
      </c>
      <c r="F927">
        <v>0</v>
      </c>
      <c r="G927">
        <f>0.1+464.47755</f>
        <v>464.57755000000003</v>
      </c>
      <c r="I927">
        <f t="shared" si="56"/>
        <v>0</v>
      </c>
      <c r="J927">
        <f t="shared" si="57"/>
        <v>0</v>
      </c>
      <c r="K927">
        <f t="shared" si="58"/>
        <v>3454.9501450220296</v>
      </c>
      <c r="L927">
        <f t="shared" si="59"/>
        <v>0</v>
      </c>
    </row>
    <row r="928" spans="1:12" x14ac:dyDescent="0.35">
      <c r="A928" s="1" t="s">
        <v>84</v>
      </c>
      <c r="B928">
        <v>0.21199999999999999</v>
      </c>
      <c r="C928">
        <v>0</v>
      </c>
      <c r="D928">
        <v>2.47240752</v>
      </c>
      <c r="E928">
        <v>0</v>
      </c>
      <c r="F928">
        <v>0</v>
      </c>
      <c r="G928">
        <v>464.86455000000001</v>
      </c>
      <c r="I928">
        <f t="shared" si="56"/>
        <v>0</v>
      </c>
      <c r="J928">
        <f t="shared" si="57"/>
        <v>49.48238246273813</v>
      </c>
      <c r="K928">
        <f t="shared" si="58"/>
        <v>0</v>
      </c>
      <c r="L928">
        <f t="shared" si="59"/>
        <v>0</v>
      </c>
    </row>
    <row r="929" spans="1:12" x14ac:dyDescent="0.35">
      <c r="A929" s="1" t="s">
        <v>85</v>
      </c>
      <c r="B929">
        <v>0.16600000000000001</v>
      </c>
      <c r="C929">
        <v>0</v>
      </c>
      <c r="D929">
        <v>0</v>
      </c>
      <c r="E929">
        <v>-132.861086</v>
      </c>
      <c r="F929">
        <v>0</v>
      </c>
      <c r="G929">
        <v>465.63139999999999</v>
      </c>
      <c r="I929">
        <f t="shared" si="56"/>
        <v>0</v>
      </c>
      <c r="J929">
        <f t="shared" si="57"/>
        <v>0</v>
      </c>
      <c r="K929">
        <f t="shared" si="58"/>
        <v>-2659.0612666744933</v>
      </c>
      <c r="L929">
        <f t="shared" si="59"/>
        <v>0</v>
      </c>
    </row>
    <row r="930" spans="1:12" x14ac:dyDescent="0.35">
      <c r="A930" s="1" t="s">
        <v>86</v>
      </c>
      <c r="B930">
        <v>0.21199999999999999</v>
      </c>
      <c r="C930">
        <v>0</v>
      </c>
      <c r="D930">
        <v>-2.3709669899999999</v>
      </c>
      <c r="E930">
        <v>0</v>
      </c>
      <c r="F930">
        <v>0</v>
      </c>
      <c r="G930">
        <v>465.91840000000002</v>
      </c>
      <c r="I930">
        <f t="shared" si="56"/>
        <v>0</v>
      </c>
      <c r="J930">
        <f t="shared" si="57"/>
        <v>-47.452167353748784</v>
      </c>
      <c r="K930">
        <f t="shared" si="58"/>
        <v>0</v>
      </c>
      <c r="L930">
        <f t="shared" si="59"/>
        <v>0</v>
      </c>
    </row>
    <row r="931" spans="1:12" x14ac:dyDescent="0.35">
      <c r="A931" s="1" t="s">
        <v>48</v>
      </c>
      <c r="B931">
        <v>0.41782794400000001</v>
      </c>
      <c r="C931">
        <v>2.3392E-3</v>
      </c>
      <c r="D931">
        <v>0</v>
      </c>
      <c r="E931">
        <v>0</v>
      </c>
      <c r="F931">
        <v>0</v>
      </c>
      <c r="G931">
        <v>466.38323000000003</v>
      </c>
      <c r="I931">
        <f t="shared" si="56"/>
        <v>0.11204704805350077</v>
      </c>
      <c r="J931">
        <f t="shared" si="57"/>
        <v>0</v>
      </c>
      <c r="K931">
        <f t="shared" si="58"/>
        <v>0</v>
      </c>
      <c r="L931">
        <f t="shared" si="59"/>
        <v>0</v>
      </c>
    </row>
    <row r="932" spans="1:12" x14ac:dyDescent="0.35">
      <c r="A932" s="1" t="s">
        <v>49</v>
      </c>
      <c r="B932">
        <v>0.41782808399999999</v>
      </c>
      <c r="C932">
        <v>3.2192000000000002E-3</v>
      </c>
      <c r="D932">
        <v>0</v>
      </c>
      <c r="E932">
        <v>0</v>
      </c>
      <c r="F932">
        <v>0</v>
      </c>
      <c r="G932">
        <v>466.80106000000001</v>
      </c>
      <c r="I932">
        <f t="shared" si="56"/>
        <v>0.15419875865034546</v>
      </c>
      <c r="J932">
        <f t="shared" si="57"/>
        <v>0</v>
      </c>
      <c r="K932">
        <f t="shared" si="58"/>
        <v>0</v>
      </c>
      <c r="L932">
        <f t="shared" si="59"/>
        <v>0</v>
      </c>
    </row>
    <row r="933" spans="1:12" x14ac:dyDescent="0.35">
      <c r="A933" s="1" t="s">
        <v>50</v>
      </c>
      <c r="B933">
        <v>0.41782827500000003</v>
      </c>
      <c r="C933">
        <v>4.1392E-3</v>
      </c>
      <c r="D933">
        <v>0</v>
      </c>
      <c r="E933">
        <v>0</v>
      </c>
      <c r="F933">
        <v>0</v>
      </c>
      <c r="G933">
        <v>467.21888000000001</v>
      </c>
      <c r="I933">
        <f t="shared" si="56"/>
        <v>0.19826640470947862</v>
      </c>
      <c r="J933">
        <f t="shared" si="57"/>
        <v>0</v>
      </c>
      <c r="K933">
        <f t="shared" si="58"/>
        <v>0</v>
      </c>
      <c r="L933">
        <f t="shared" si="59"/>
        <v>0</v>
      </c>
    </row>
    <row r="934" spans="1:12" x14ac:dyDescent="0.35">
      <c r="A934" s="1" t="s">
        <v>51</v>
      </c>
      <c r="B934">
        <v>0.41782864199999997</v>
      </c>
      <c r="C934">
        <v>5.4992000000000001E-3</v>
      </c>
      <c r="D934">
        <v>0</v>
      </c>
      <c r="E934">
        <v>0</v>
      </c>
      <c r="F934">
        <v>0</v>
      </c>
      <c r="G934">
        <v>467.63670999999999</v>
      </c>
      <c r="I934">
        <f t="shared" si="56"/>
        <v>0.26340975432619773</v>
      </c>
      <c r="J934">
        <f t="shared" si="57"/>
        <v>0</v>
      </c>
      <c r="K934">
        <f t="shared" si="58"/>
        <v>0</v>
      </c>
      <c r="L934">
        <f t="shared" si="59"/>
        <v>0</v>
      </c>
    </row>
    <row r="935" spans="1:12" x14ac:dyDescent="0.35">
      <c r="A935" s="1" t="s">
        <v>52</v>
      </c>
      <c r="B935">
        <v>0.41783028900000002</v>
      </c>
      <c r="C935">
        <v>9.4690999999999994E-3</v>
      </c>
      <c r="D935">
        <v>0</v>
      </c>
      <c r="E935">
        <v>0</v>
      </c>
      <c r="F935">
        <v>0</v>
      </c>
      <c r="G935">
        <v>468.05453999999997</v>
      </c>
      <c r="I935">
        <f t="shared" si="56"/>
        <v>0.45356478630764774</v>
      </c>
      <c r="J935">
        <f t="shared" si="57"/>
        <v>0</v>
      </c>
      <c r="K935">
        <f t="shared" si="58"/>
        <v>0</v>
      </c>
      <c r="L935">
        <f t="shared" si="59"/>
        <v>0</v>
      </c>
    </row>
    <row r="936" spans="1:12" x14ac:dyDescent="0.35">
      <c r="A936" s="1" t="s">
        <v>87</v>
      </c>
      <c r="B936">
        <v>0.16200000000000001</v>
      </c>
      <c r="C936">
        <v>0</v>
      </c>
      <c r="D936">
        <v>-2.8698264299999998</v>
      </c>
      <c r="E936">
        <v>0</v>
      </c>
      <c r="F936">
        <v>0</v>
      </c>
      <c r="G936">
        <v>468.26353999999998</v>
      </c>
      <c r="I936">
        <f t="shared" si="56"/>
        <v>0</v>
      </c>
      <c r="J936">
        <f t="shared" si="57"/>
        <v>-57.436263181619168</v>
      </c>
      <c r="K936">
        <f t="shared" si="58"/>
        <v>0</v>
      </c>
      <c r="L936">
        <f t="shared" si="59"/>
        <v>0</v>
      </c>
    </row>
    <row r="937" spans="1:12" x14ac:dyDescent="0.35">
      <c r="A937" s="1" t="s">
        <v>54</v>
      </c>
      <c r="B937">
        <v>0.1</v>
      </c>
      <c r="C937">
        <v>0</v>
      </c>
      <c r="D937">
        <v>0</v>
      </c>
      <c r="E937">
        <v>0</v>
      </c>
      <c r="F937">
        <v>0</v>
      </c>
      <c r="G937">
        <v>468.59354000000002</v>
      </c>
      <c r="I937">
        <f t="shared" si="56"/>
        <v>0</v>
      </c>
      <c r="J937">
        <f t="shared" si="57"/>
        <v>0</v>
      </c>
      <c r="K937">
        <f t="shared" si="58"/>
        <v>0</v>
      </c>
      <c r="L937">
        <f t="shared" si="59"/>
        <v>0</v>
      </c>
    </row>
    <row r="938" spans="1:12" x14ac:dyDescent="0.35">
      <c r="A938" s="1" t="s">
        <v>88</v>
      </c>
      <c r="B938">
        <v>0.29499999999999998</v>
      </c>
      <c r="C938">
        <v>0</v>
      </c>
      <c r="D938">
        <v>2.43875777</v>
      </c>
      <c r="E938">
        <v>0</v>
      </c>
      <c r="F938">
        <v>0</v>
      </c>
      <c r="G938">
        <v>468.99853999999999</v>
      </c>
      <c r="I938">
        <f t="shared" si="56"/>
        <v>0</v>
      </c>
      <c r="J938">
        <f t="shared" si="57"/>
        <v>48.808921560436907</v>
      </c>
      <c r="K938">
        <f t="shared" si="58"/>
        <v>0</v>
      </c>
      <c r="L938">
        <f t="shared" si="59"/>
        <v>0</v>
      </c>
    </row>
    <row r="939" spans="1:12" x14ac:dyDescent="0.35">
      <c r="A939" s="1" t="s">
        <v>56</v>
      </c>
      <c r="B939">
        <v>0.29499999999999998</v>
      </c>
      <c r="C939">
        <v>0</v>
      </c>
      <c r="D939">
        <v>2.43875777</v>
      </c>
      <c r="E939">
        <v>0</v>
      </c>
      <c r="F939">
        <v>0</v>
      </c>
      <c r="G939">
        <v>474.87169999999998</v>
      </c>
      <c r="I939">
        <f t="shared" si="56"/>
        <v>0</v>
      </c>
      <c r="J939">
        <f t="shared" si="57"/>
        <v>48.808921560436907</v>
      </c>
      <c r="K939">
        <f t="shared" si="58"/>
        <v>0</v>
      </c>
      <c r="L939">
        <f t="shared" si="59"/>
        <v>0</v>
      </c>
    </row>
    <row r="940" spans="1:12" x14ac:dyDescent="0.35">
      <c r="A940" s="1" t="s">
        <v>2</v>
      </c>
      <c r="B940">
        <v>0.1</v>
      </c>
      <c r="C940">
        <v>0</v>
      </c>
      <c r="D940">
        <v>0</v>
      </c>
      <c r="E940">
        <v>0</v>
      </c>
      <c r="F940">
        <v>0</v>
      </c>
      <c r="G940">
        <v>475.08170000000001</v>
      </c>
      <c r="I940">
        <f t="shared" si="56"/>
        <v>0</v>
      </c>
      <c r="J940">
        <f t="shared" si="57"/>
        <v>0</v>
      </c>
      <c r="K940">
        <f t="shared" si="58"/>
        <v>0</v>
      </c>
      <c r="L940">
        <f t="shared" si="59"/>
        <v>0</v>
      </c>
    </row>
    <row r="941" spans="1:12" x14ac:dyDescent="0.35">
      <c r="A941" s="1" t="s">
        <v>57</v>
      </c>
      <c r="B941">
        <v>0.16200000000000001</v>
      </c>
      <c r="C941">
        <v>0</v>
      </c>
      <c r="D941">
        <v>-2.8698264299999998</v>
      </c>
      <c r="E941">
        <v>0</v>
      </c>
      <c r="F941">
        <v>0</v>
      </c>
      <c r="G941">
        <v>475.47370000000001</v>
      </c>
      <c r="I941">
        <f t="shared" si="56"/>
        <v>0</v>
      </c>
      <c r="J941">
        <f t="shared" si="57"/>
        <v>-57.436263181619168</v>
      </c>
      <c r="K941">
        <f t="shared" si="58"/>
        <v>0</v>
      </c>
      <c r="L941">
        <f t="shared" si="59"/>
        <v>0</v>
      </c>
    </row>
    <row r="942" spans="1:12" x14ac:dyDescent="0.35">
      <c r="A942" s="1" t="s">
        <v>58</v>
      </c>
      <c r="B942">
        <v>0.41783028900000002</v>
      </c>
      <c r="C942">
        <v>9.4690999999999994E-3</v>
      </c>
      <c r="D942">
        <v>0</v>
      </c>
      <c r="E942">
        <v>0</v>
      </c>
      <c r="F942">
        <v>0</v>
      </c>
      <c r="G942">
        <v>475.93853000000001</v>
      </c>
      <c r="I942">
        <f t="shared" si="56"/>
        <v>0.45356478630764774</v>
      </c>
      <c r="J942">
        <f t="shared" si="57"/>
        <v>0</v>
      </c>
      <c r="K942">
        <f t="shared" si="58"/>
        <v>0</v>
      </c>
      <c r="L942">
        <f t="shared" si="59"/>
        <v>0</v>
      </c>
    </row>
    <row r="943" spans="1:12" x14ac:dyDescent="0.35">
      <c r="A943" s="1" t="s">
        <v>59</v>
      </c>
      <c r="B943">
        <v>0.41782864199999997</v>
      </c>
      <c r="C943">
        <v>5.4992000000000001E-3</v>
      </c>
      <c r="D943">
        <v>0</v>
      </c>
      <c r="E943">
        <v>0</v>
      </c>
      <c r="F943">
        <v>0</v>
      </c>
      <c r="G943">
        <v>476.35635000000002</v>
      </c>
      <c r="I943">
        <f t="shared" si="56"/>
        <v>0.26340975432619773</v>
      </c>
      <c r="J943">
        <f t="shared" si="57"/>
        <v>0</v>
      </c>
      <c r="K943">
        <f t="shared" si="58"/>
        <v>0</v>
      </c>
      <c r="L943">
        <f t="shared" si="59"/>
        <v>0</v>
      </c>
    </row>
    <row r="944" spans="1:12" x14ac:dyDescent="0.35">
      <c r="A944" s="1" t="s">
        <v>60</v>
      </c>
      <c r="B944">
        <v>0.41782827500000003</v>
      </c>
      <c r="C944">
        <v>4.1392E-3</v>
      </c>
      <c r="D944">
        <v>0</v>
      </c>
      <c r="E944">
        <v>0</v>
      </c>
      <c r="F944">
        <v>0</v>
      </c>
      <c r="G944">
        <v>476.77418</v>
      </c>
      <c r="I944">
        <f t="shared" si="56"/>
        <v>0.19826640470947862</v>
      </c>
      <c r="J944">
        <f t="shared" si="57"/>
        <v>0</v>
      </c>
      <c r="K944">
        <f t="shared" si="58"/>
        <v>0</v>
      </c>
      <c r="L944">
        <f t="shared" si="59"/>
        <v>0</v>
      </c>
    </row>
    <row r="945" spans="1:12" x14ac:dyDescent="0.35">
      <c r="A945" s="1" t="s">
        <v>61</v>
      </c>
      <c r="B945">
        <v>0.41782808399999999</v>
      </c>
      <c r="C945">
        <v>3.2192000000000002E-3</v>
      </c>
      <c r="D945">
        <v>0</v>
      </c>
      <c r="E945">
        <v>0</v>
      </c>
      <c r="F945">
        <v>0</v>
      </c>
      <c r="G945">
        <v>477.19200999999998</v>
      </c>
      <c r="I945">
        <f t="shared" si="56"/>
        <v>0.15419875865034546</v>
      </c>
      <c r="J945">
        <f t="shared" si="57"/>
        <v>0</v>
      </c>
      <c r="K945">
        <f t="shared" si="58"/>
        <v>0</v>
      </c>
      <c r="L945">
        <f t="shared" si="59"/>
        <v>0</v>
      </c>
    </row>
    <row r="946" spans="1:12" x14ac:dyDescent="0.35">
      <c r="A946" s="1" t="s">
        <v>62</v>
      </c>
      <c r="B946">
        <v>0.41782794400000001</v>
      </c>
      <c r="C946">
        <v>2.3392E-3</v>
      </c>
      <c r="D946">
        <v>0</v>
      </c>
      <c r="E946">
        <v>0</v>
      </c>
      <c r="F946">
        <v>0</v>
      </c>
      <c r="G946">
        <v>477.60984000000002</v>
      </c>
      <c r="I946">
        <f t="shared" si="56"/>
        <v>0.11204704805350077</v>
      </c>
      <c r="J946">
        <f t="shared" si="57"/>
        <v>0</v>
      </c>
      <c r="K946">
        <f t="shared" si="58"/>
        <v>0</v>
      </c>
      <c r="L946">
        <f t="shared" si="59"/>
        <v>0</v>
      </c>
    </row>
    <row r="947" spans="1:12" x14ac:dyDescent="0.35">
      <c r="A947" s="1" t="s">
        <v>63</v>
      </c>
      <c r="B947">
        <v>0.21199999999999999</v>
      </c>
      <c r="C947">
        <v>0</v>
      </c>
      <c r="D947">
        <v>-2.3709669899999999</v>
      </c>
      <c r="E947">
        <v>0</v>
      </c>
      <c r="F947">
        <v>0</v>
      </c>
      <c r="G947">
        <v>477.86883999999998</v>
      </c>
      <c r="I947">
        <f t="shared" si="56"/>
        <v>0</v>
      </c>
      <c r="J947">
        <f t="shared" si="57"/>
        <v>-47.452167353748784</v>
      </c>
      <c r="K947">
        <f t="shared" si="58"/>
        <v>0</v>
      </c>
      <c r="L947">
        <f t="shared" si="59"/>
        <v>0</v>
      </c>
    </row>
    <row r="948" spans="1:12" x14ac:dyDescent="0.35">
      <c r="A948" s="1" t="s">
        <v>64</v>
      </c>
      <c r="B948">
        <v>0.16600000000000001</v>
      </c>
      <c r="C948">
        <v>0</v>
      </c>
      <c r="D948">
        <v>0</v>
      </c>
      <c r="E948">
        <v>-132.861086</v>
      </c>
      <c r="F948">
        <v>0</v>
      </c>
      <c r="G948">
        <v>478.10984000000002</v>
      </c>
      <c r="I948">
        <f t="shared" si="56"/>
        <v>0</v>
      </c>
      <c r="J948">
        <f t="shared" si="57"/>
        <v>0</v>
      </c>
      <c r="K948">
        <f t="shared" si="58"/>
        <v>-2659.0612666744933</v>
      </c>
      <c r="L948">
        <f t="shared" si="59"/>
        <v>0</v>
      </c>
    </row>
    <row r="949" spans="1:12" x14ac:dyDescent="0.35">
      <c r="A949" s="1" t="s">
        <v>65</v>
      </c>
      <c r="B949">
        <v>0.21199999999999999</v>
      </c>
      <c r="C949">
        <v>0</v>
      </c>
      <c r="D949">
        <v>2.47240752</v>
      </c>
      <c r="E949">
        <v>0</v>
      </c>
      <c r="F949">
        <v>0</v>
      </c>
      <c r="G949">
        <v>478.92268999999999</v>
      </c>
      <c r="I949">
        <f t="shared" si="56"/>
        <v>0</v>
      </c>
      <c r="J949">
        <f t="shared" si="57"/>
        <v>49.48238246273813</v>
      </c>
      <c r="K949">
        <f t="shared" si="58"/>
        <v>0</v>
      </c>
      <c r="L949">
        <f t="shared" si="59"/>
        <v>0</v>
      </c>
    </row>
    <row r="950" spans="1:12" x14ac:dyDescent="0.35">
      <c r="A950" s="1" t="s">
        <v>66</v>
      </c>
      <c r="B950">
        <v>0.1</v>
      </c>
      <c r="C950">
        <v>0</v>
      </c>
      <c r="D950">
        <v>0</v>
      </c>
      <c r="E950">
        <v>172.62799999999999</v>
      </c>
      <c r="F950">
        <v>0</v>
      </c>
      <c r="G950">
        <v>479.09769</v>
      </c>
      <c r="I950">
        <f t="shared" si="56"/>
        <v>0</v>
      </c>
      <c r="J950">
        <f t="shared" si="57"/>
        <v>0</v>
      </c>
      <c r="K950">
        <f t="shared" si="58"/>
        <v>3454.9501450220296</v>
      </c>
      <c r="L950">
        <f t="shared" si="59"/>
        <v>0</v>
      </c>
    </row>
    <row r="951" spans="1:12" x14ac:dyDescent="0.35">
      <c r="A951" s="1" t="s">
        <v>66</v>
      </c>
      <c r="B951">
        <v>0.1</v>
      </c>
      <c r="C951">
        <v>0</v>
      </c>
      <c r="D951">
        <v>0</v>
      </c>
      <c r="E951">
        <v>172.62799999999999</v>
      </c>
      <c r="F951">
        <v>0</v>
      </c>
      <c r="G951">
        <f>479.09769+0.1</f>
        <v>479.19769000000002</v>
      </c>
      <c r="I951">
        <f t="shared" si="56"/>
        <v>0</v>
      </c>
      <c r="J951">
        <f t="shared" si="57"/>
        <v>0</v>
      </c>
      <c r="K951">
        <f t="shared" si="58"/>
        <v>3454.9501450220296</v>
      </c>
      <c r="L951">
        <f t="shared" si="59"/>
        <v>0</v>
      </c>
    </row>
    <row r="952" spans="1:12" x14ac:dyDescent="0.35">
      <c r="A952" s="1" t="s">
        <v>67</v>
      </c>
      <c r="B952">
        <v>0.21199999999999999</v>
      </c>
      <c r="C952">
        <v>0</v>
      </c>
      <c r="D952">
        <v>2.47240752</v>
      </c>
      <c r="E952">
        <v>0</v>
      </c>
      <c r="F952">
        <v>0</v>
      </c>
      <c r="G952">
        <v>479.48469</v>
      </c>
      <c r="I952">
        <f t="shared" si="56"/>
        <v>0</v>
      </c>
      <c r="J952">
        <f t="shared" si="57"/>
        <v>49.48238246273813</v>
      </c>
      <c r="K952">
        <f t="shared" si="58"/>
        <v>0</v>
      </c>
      <c r="L952">
        <f t="shared" si="59"/>
        <v>0</v>
      </c>
    </row>
    <row r="953" spans="1:12" x14ac:dyDescent="0.35">
      <c r="A953" s="1" t="s">
        <v>68</v>
      </c>
      <c r="B953">
        <v>0.09</v>
      </c>
      <c r="C953">
        <v>0</v>
      </c>
      <c r="D953">
        <v>0</v>
      </c>
      <c r="E953">
        <v>0</v>
      </c>
      <c r="F953">
        <v>-13632</v>
      </c>
      <c r="G953">
        <v>479.63468999999998</v>
      </c>
      <c r="I953">
        <f t="shared" si="56"/>
        <v>0</v>
      </c>
      <c r="J953">
        <f t="shared" si="57"/>
        <v>0</v>
      </c>
      <c r="K953">
        <f t="shared" si="58"/>
        <v>0</v>
      </c>
      <c r="L953">
        <f t="shared" si="59"/>
        <v>-272828.74375501258</v>
      </c>
    </row>
    <row r="954" spans="1:12" x14ac:dyDescent="0.35">
      <c r="A954" s="1" t="s">
        <v>69</v>
      </c>
      <c r="B954">
        <v>0.16600000000000001</v>
      </c>
      <c r="C954">
        <v>0</v>
      </c>
      <c r="D954">
        <v>0</v>
      </c>
      <c r="E954">
        <v>-202.23429300000001</v>
      </c>
      <c r="F954">
        <v>0</v>
      </c>
      <c r="G954">
        <v>480.25155000000001</v>
      </c>
      <c r="I954">
        <f t="shared" si="56"/>
        <v>0</v>
      </c>
      <c r="J954">
        <f t="shared" si="57"/>
        <v>0</v>
      </c>
      <c r="K954">
        <f t="shared" si="58"/>
        <v>-4047.4859230760812</v>
      </c>
      <c r="L954">
        <f t="shared" si="59"/>
        <v>0</v>
      </c>
    </row>
    <row r="955" spans="1:12" x14ac:dyDescent="0.35">
      <c r="A955" s="1" t="s">
        <v>70</v>
      </c>
      <c r="B955">
        <v>0.21199999999999999</v>
      </c>
      <c r="C955">
        <v>0</v>
      </c>
      <c r="D955">
        <v>-2.53358734</v>
      </c>
      <c r="E955">
        <v>0</v>
      </c>
      <c r="F955">
        <v>0</v>
      </c>
      <c r="G955">
        <v>480.53854999999999</v>
      </c>
      <c r="I955">
        <f t="shared" si="56"/>
        <v>0</v>
      </c>
      <c r="J955">
        <f t="shared" si="57"/>
        <v>-50.706825936458621</v>
      </c>
      <c r="K955">
        <f t="shared" si="58"/>
        <v>0</v>
      </c>
      <c r="L955">
        <f t="shared" si="59"/>
        <v>0</v>
      </c>
    </row>
    <row r="956" spans="1:12" x14ac:dyDescent="0.35">
      <c r="A956" s="1" t="s">
        <v>20</v>
      </c>
      <c r="B956">
        <v>0.41782794400000001</v>
      </c>
      <c r="C956">
        <v>2.3392E-3</v>
      </c>
      <c r="D956">
        <v>0</v>
      </c>
      <c r="E956">
        <v>0</v>
      </c>
      <c r="F956">
        <v>0</v>
      </c>
      <c r="G956">
        <v>481.00337000000002</v>
      </c>
      <c r="I956">
        <f t="shared" si="56"/>
        <v>0.11204704805350077</v>
      </c>
      <c r="J956">
        <f t="shared" si="57"/>
        <v>0</v>
      </c>
      <c r="K956">
        <f t="shared" si="58"/>
        <v>0</v>
      </c>
      <c r="L956">
        <f t="shared" si="59"/>
        <v>0</v>
      </c>
    </row>
    <row r="957" spans="1:12" x14ac:dyDescent="0.35">
      <c r="A957" s="1" t="s">
        <v>21</v>
      </c>
      <c r="B957">
        <v>0.41782808399999999</v>
      </c>
      <c r="C957">
        <v>3.2192000000000002E-3</v>
      </c>
      <c r="D957">
        <v>0</v>
      </c>
      <c r="E957">
        <v>0</v>
      </c>
      <c r="F957">
        <v>0</v>
      </c>
      <c r="G957">
        <v>481.4212</v>
      </c>
      <c r="I957">
        <f t="shared" si="56"/>
        <v>0.15419875865034546</v>
      </c>
      <c r="J957">
        <f t="shared" si="57"/>
        <v>0</v>
      </c>
      <c r="K957">
        <f t="shared" si="58"/>
        <v>0</v>
      </c>
      <c r="L957">
        <f t="shared" si="59"/>
        <v>0</v>
      </c>
    </row>
    <row r="958" spans="1:12" x14ac:dyDescent="0.35">
      <c r="A958" s="1" t="s">
        <v>22</v>
      </c>
      <c r="B958">
        <v>0.41782827500000003</v>
      </c>
      <c r="C958">
        <v>4.1392E-3</v>
      </c>
      <c r="D958">
        <v>0</v>
      </c>
      <c r="E958">
        <v>0</v>
      </c>
      <c r="F958">
        <v>0</v>
      </c>
      <c r="G958">
        <v>481.83902999999998</v>
      </c>
      <c r="I958">
        <f t="shared" si="56"/>
        <v>0.19826640470947862</v>
      </c>
      <c r="J958">
        <f t="shared" si="57"/>
        <v>0</v>
      </c>
      <c r="K958">
        <f t="shared" si="58"/>
        <v>0</v>
      </c>
      <c r="L958">
        <f t="shared" si="59"/>
        <v>0</v>
      </c>
    </row>
    <row r="959" spans="1:12" x14ac:dyDescent="0.35">
      <c r="A959" s="1" t="s">
        <v>23</v>
      </c>
      <c r="B959">
        <v>0.41782864199999997</v>
      </c>
      <c r="C959">
        <v>5.4992000000000001E-3</v>
      </c>
      <c r="D959">
        <v>0</v>
      </c>
      <c r="E959">
        <v>0</v>
      </c>
      <c r="F959">
        <v>0</v>
      </c>
      <c r="G959">
        <v>482.25686000000002</v>
      </c>
      <c r="I959">
        <f t="shared" si="56"/>
        <v>0.26340975432619773</v>
      </c>
      <c r="J959">
        <f t="shared" si="57"/>
        <v>0</v>
      </c>
      <c r="K959">
        <f t="shared" si="58"/>
        <v>0</v>
      </c>
      <c r="L959">
        <f t="shared" si="59"/>
        <v>0</v>
      </c>
    </row>
    <row r="960" spans="1:12" x14ac:dyDescent="0.35">
      <c r="A960" s="1" t="s">
        <v>24</v>
      </c>
      <c r="B960">
        <v>0.41782941899999998</v>
      </c>
      <c r="C960">
        <v>7.6290999999999998E-3</v>
      </c>
      <c r="D960">
        <v>0</v>
      </c>
      <c r="E960">
        <v>0</v>
      </c>
      <c r="F960">
        <v>0</v>
      </c>
      <c r="G960">
        <v>482.67469</v>
      </c>
      <c r="I960">
        <f t="shared" si="56"/>
        <v>0.36543053893202671</v>
      </c>
      <c r="J960">
        <f t="shared" si="57"/>
        <v>0</v>
      </c>
      <c r="K960">
        <f t="shared" si="58"/>
        <v>0</v>
      </c>
      <c r="L960">
        <f t="shared" si="59"/>
        <v>0</v>
      </c>
    </row>
    <row r="961" spans="1:12" x14ac:dyDescent="0.35">
      <c r="A961" s="1" t="s">
        <v>71</v>
      </c>
      <c r="B961">
        <v>0.3745</v>
      </c>
      <c r="C961">
        <v>0</v>
      </c>
      <c r="D961">
        <v>4.5116622</v>
      </c>
      <c r="E961">
        <v>0</v>
      </c>
      <c r="F961">
        <v>0</v>
      </c>
      <c r="G961">
        <v>483.19918999999999</v>
      </c>
      <c r="I961">
        <f t="shared" si="56"/>
        <v>0</v>
      </c>
      <c r="J961">
        <f t="shared" si="57"/>
        <v>90.29571084748946</v>
      </c>
      <c r="K961">
        <f t="shared" si="58"/>
        <v>0</v>
      </c>
      <c r="L961">
        <f t="shared" si="59"/>
        <v>0</v>
      </c>
    </row>
    <row r="962" spans="1:12" x14ac:dyDescent="0.35">
      <c r="A962" s="1" t="s">
        <v>72</v>
      </c>
      <c r="B962">
        <v>1.0280365199999999</v>
      </c>
      <c r="C962">
        <v>2.4767999999999998E-2</v>
      </c>
      <c r="D962">
        <v>-1.929</v>
      </c>
      <c r="E962">
        <v>0</v>
      </c>
      <c r="F962">
        <v>0</v>
      </c>
      <c r="G962">
        <v>484.31722000000002</v>
      </c>
      <c r="I962">
        <f t="shared" si="56"/>
        <v>0.48218416286837618</v>
      </c>
      <c r="J962">
        <f t="shared" si="57"/>
        <v>-38.606708238220314</v>
      </c>
      <c r="K962">
        <f t="shared" si="58"/>
        <v>0</v>
      </c>
      <c r="L962">
        <f t="shared" si="59"/>
        <v>0</v>
      </c>
    </row>
    <row r="963" spans="1:12" x14ac:dyDescent="0.35">
      <c r="A963" s="1" t="s">
        <v>73</v>
      </c>
      <c r="B963">
        <v>0.4975</v>
      </c>
      <c r="C963">
        <v>0</v>
      </c>
      <c r="D963">
        <v>4.61414189</v>
      </c>
      <c r="E963">
        <v>0</v>
      </c>
      <c r="F963">
        <v>0</v>
      </c>
      <c r="G963">
        <v>484.90472</v>
      </c>
      <c r="I963">
        <f t="shared" si="56"/>
        <v>0</v>
      </c>
      <c r="J963">
        <f t="shared" si="57"/>
        <v>92.346723544313335</v>
      </c>
      <c r="K963">
        <f t="shared" si="58"/>
        <v>0</v>
      </c>
      <c r="L963">
        <f t="shared" si="59"/>
        <v>0</v>
      </c>
    </row>
    <row r="964" spans="1:12" x14ac:dyDescent="0.35">
      <c r="A964" s="1" t="s">
        <v>28</v>
      </c>
      <c r="B964">
        <v>0.1</v>
      </c>
      <c r="C964">
        <v>0</v>
      </c>
      <c r="D964">
        <v>0</v>
      </c>
      <c r="E964">
        <v>0</v>
      </c>
      <c r="F964">
        <v>0</v>
      </c>
      <c r="G964">
        <v>485.07580000000002</v>
      </c>
      <c r="I964">
        <f t="shared" ref="I964:I1027" si="60">$H$2*$C964/$B964</f>
        <v>0</v>
      </c>
      <c r="J964">
        <f t="shared" ref="J964:J1027" si="61">$H$2*$D964</f>
        <v>0</v>
      </c>
      <c r="K964">
        <f t="shared" ref="K964:K1027" si="62">$H$2*$E964</f>
        <v>0</v>
      </c>
      <c r="L964">
        <f t="shared" ref="L964:L1027" si="63">$H$2*$F964</f>
        <v>0</v>
      </c>
    </row>
    <row r="965" spans="1:12" x14ac:dyDescent="0.35">
      <c r="A965" s="1" t="s">
        <v>74</v>
      </c>
      <c r="B965">
        <v>0.40000102700000001</v>
      </c>
      <c r="C965">
        <v>5.2300999999999997E-3</v>
      </c>
      <c r="D965">
        <v>-1.5815999999999999</v>
      </c>
      <c r="E965">
        <v>0</v>
      </c>
      <c r="F965">
        <v>0</v>
      </c>
      <c r="G965">
        <v>485.56880000000001</v>
      </c>
      <c r="I965">
        <f t="shared" si="60"/>
        <v>0.26168536331815889</v>
      </c>
      <c r="J965">
        <f t="shared" si="61"/>
        <v>-31.653898263125576</v>
      </c>
      <c r="K965">
        <f t="shared" si="62"/>
        <v>0</v>
      </c>
      <c r="L965">
        <f t="shared" si="63"/>
        <v>0</v>
      </c>
    </row>
    <row r="966" spans="1:12" x14ac:dyDescent="0.35">
      <c r="A966" s="1" t="s">
        <v>30</v>
      </c>
      <c r="B966">
        <v>2.44294E-2</v>
      </c>
      <c r="C966">
        <v>1.0499000000000001E-3</v>
      </c>
      <c r="D966">
        <v>0</v>
      </c>
      <c r="E966">
        <v>0</v>
      </c>
      <c r="F966">
        <v>0</v>
      </c>
      <c r="G966">
        <v>485.66372999999999</v>
      </c>
      <c r="I966">
        <f t="shared" si="60"/>
        <v>0.8601331402616047</v>
      </c>
      <c r="J966">
        <f t="shared" si="61"/>
        <v>0</v>
      </c>
      <c r="K966">
        <f t="shared" si="62"/>
        <v>0</v>
      </c>
      <c r="L966">
        <f t="shared" si="63"/>
        <v>0</v>
      </c>
    </row>
    <row r="967" spans="1:12" x14ac:dyDescent="0.35">
      <c r="A967" s="1" t="s">
        <v>30</v>
      </c>
      <c r="B967">
        <v>2.44294E-2</v>
      </c>
      <c r="C967">
        <v>1.0499000000000001E-3</v>
      </c>
      <c r="D967">
        <v>0</v>
      </c>
      <c r="E967">
        <v>0</v>
      </c>
      <c r="F967">
        <v>0</v>
      </c>
      <c r="G967">
        <f>485.66373+0.0244294</f>
        <v>485.68815939999996</v>
      </c>
      <c r="I967">
        <f t="shared" si="60"/>
        <v>0.8601331402616047</v>
      </c>
      <c r="J967">
        <f t="shared" si="61"/>
        <v>0</v>
      </c>
      <c r="K967">
        <f t="shared" si="62"/>
        <v>0</v>
      </c>
      <c r="L967">
        <f t="shared" si="63"/>
        <v>0</v>
      </c>
    </row>
    <row r="968" spans="1:12" x14ac:dyDescent="0.35">
      <c r="A968" s="1" t="s">
        <v>75</v>
      </c>
      <c r="B968">
        <v>0.40000102700000001</v>
      </c>
      <c r="C968">
        <v>5.2300999999999997E-3</v>
      </c>
      <c r="D968">
        <v>-1.5815999999999999</v>
      </c>
      <c r="E968">
        <v>0</v>
      </c>
      <c r="F968">
        <v>0</v>
      </c>
      <c r="G968">
        <v>486.15866</v>
      </c>
      <c r="I968">
        <f t="shared" si="60"/>
        <v>0.26168536331815889</v>
      </c>
      <c r="J968">
        <f t="shared" si="61"/>
        <v>-31.653898263125576</v>
      </c>
      <c r="K968">
        <f t="shared" si="62"/>
        <v>0</v>
      </c>
      <c r="L968">
        <f t="shared" si="63"/>
        <v>0</v>
      </c>
    </row>
    <row r="969" spans="1:12" x14ac:dyDescent="0.35">
      <c r="A969" s="1" t="s">
        <v>76</v>
      </c>
      <c r="B969">
        <v>0.4975</v>
      </c>
      <c r="C969">
        <v>0</v>
      </c>
      <c r="D969">
        <v>4.61414189</v>
      </c>
      <c r="E969">
        <v>0</v>
      </c>
      <c r="F969">
        <v>0</v>
      </c>
      <c r="G969">
        <v>486.92023</v>
      </c>
      <c r="I969">
        <f t="shared" si="60"/>
        <v>0</v>
      </c>
      <c r="J969">
        <f t="shared" si="61"/>
        <v>92.346723544313335</v>
      </c>
      <c r="K969">
        <f t="shared" si="62"/>
        <v>0</v>
      </c>
      <c r="L969">
        <f t="shared" si="63"/>
        <v>0</v>
      </c>
    </row>
    <row r="970" spans="1:12" x14ac:dyDescent="0.35">
      <c r="A970" s="1" t="s">
        <v>77</v>
      </c>
      <c r="B970">
        <v>1.0280365199999999</v>
      </c>
      <c r="C970">
        <v>2.4767999999999998E-2</v>
      </c>
      <c r="D970">
        <v>-1.929</v>
      </c>
      <c r="E970">
        <v>0</v>
      </c>
      <c r="F970">
        <v>0</v>
      </c>
      <c r="G970">
        <v>488.03825999999998</v>
      </c>
      <c r="I970">
        <f t="shared" si="60"/>
        <v>0.48218416286837618</v>
      </c>
      <c r="J970">
        <f t="shared" si="61"/>
        <v>-38.606708238220314</v>
      </c>
      <c r="K970">
        <f t="shared" si="62"/>
        <v>0</v>
      </c>
      <c r="L970">
        <f t="shared" si="63"/>
        <v>0</v>
      </c>
    </row>
    <row r="971" spans="1:12" x14ac:dyDescent="0.35">
      <c r="A971" s="1" t="s">
        <v>78</v>
      </c>
      <c r="B971">
        <v>0.3745</v>
      </c>
      <c r="C971">
        <v>0</v>
      </c>
      <c r="D971">
        <v>4.5116622</v>
      </c>
      <c r="E971">
        <v>0</v>
      </c>
      <c r="F971">
        <v>0</v>
      </c>
      <c r="G971">
        <v>488.50276000000002</v>
      </c>
      <c r="I971">
        <f t="shared" si="60"/>
        <v>0</v>
      </c>
      <c r="J971">
        <f t="shared" si="61"/>
        <v>90.29571084748946</v>
      </c>
      <c r="K971">
        <f t="shared" si="62"/>
        <v>0</v>
      </c>
      <c r="L971">
        <f t="shared" si="63"/>
        <v>0</v>
      </c>
    </row>
    <row r="972" spans="1:12" x14ac:dyDescent="0.35">
      <c r="A972" s="1" t="s">
        <v>35</v>
      </c>
      <c r="B972">
        <v>0.41782941899999998</v>
      </c>
      <c r="C972">
        <v>7.6290999999999998E-3</v>
      </c>
      <c r="D972">
        <v>0</v>
      </c>
      <c r="E972">
        <v>0</v>
      </c>
      <c r="F972">
        <v>0</v>
      </c>
      <c r="G972">
        <v>489.07058999999998</v>
      </c>
      <c r="I972">
        <f t="shared" si="60"/>
        <v>0.36543053893202671</v>
      </c>
      <c r="J972">
        <f t="shared" si="61"/>
        <v>0</v>
      </c>
      <c r="K972">
        <f t="shared" si="62"/>
        <v>0</v>
      </c>
      <c r="L972">
        <f t="shared" si="63"/>
        <v>0</v>
      </c>
    </row>
    <row r="973" spans="1:12" x14ac:dyDescent="0.35">
      <c r="A973" s="1" t="s">
        <v>36</v>
      </c>
      <c r="B973">
        <v>0.41782864199999997</v>
      </c>
      <c r="C973">
        <v>5.4992000000000001E-3</v>
      </c>
      <c r="D973">
        <v>0</v>
      </c>
      <c r="E973">
        <v>0</v>
      </c>
      <c r="F973">
        <v>0</v>
      </c>
      <c r="G973">
        <v>489.48842000000002</v>
      </c>
      <c r="I973">
        <f t="shared" si="60"/>
        <v>0.26340975432619773</v>
      </c>
      <c r="J973">
        <f t="shared" si="61"/>
        <v>0</v>
      </c>
      <c r="K973">
        <f t="shared" si="62"/>
        <v>0</v>
      </c>
      <c r="L973">
        <f t="shared" si="63"/>
        <v>0</v>
      </c>
    </row>
    <row r="974" spans="1:12" x14ac:dyDescent="0.35">
      <c r="A974" s="1" t="s">
        <v>37</v>
      </c>
      <c r="B974">
        <v>0.41782827500000003</v>
      </c>
      <c r="C974">
        <v>4.1392E-3</v>
      </c>
      <c r="D974">
        <v>0</v>
      </c>
      <c r="E974">
        <v>0</v>
      </c>
      <c r="F974">
        <v>0</v>
      </c>
      <c r="G974">
        <v>489.90625</v>
      </c>
      <c r="I974">
        <f t="shared" si="60"/>
        <v>0.19826640470947862</v>
      </c>
      <c r="J974">
        <f t="shared" si="61"/>
        <v>0</v>
      </c>
      <c r="K974">
        <f t="shared" si="62"/>
        <v>0</v>
      </c>
      <c r="L974">
        <f t="shared" si="63"/>
        <v>0</v>
      </c>
    </row>
    <row r="975" spans="1:12" x14ac:dyDescent="0.35">
      <c r="A975" s="1" t="s">
        <v>38</v>
      </c>
      <c r="B975">
        <v>0.41782808399999999</v>
      </c>
      <c r="C975">
        <v>3.2192000000000002E-3</v>
      </c>
      <c r="D975">
        <v>0</v>
      </c>
      <c r="E975">
        <v>0</v>
      </c>
      <c r="F975">
        <v>0</v>
      </c>
      <c r="G975">
        <v>490.32407999999998</v>
      </c>
      <c r="I975">
        <f t="shared" si="60"/>
        <v>0.15419875865034546</v>
      </c>
      <c r="J975">
        <f t="shared" si="61"/>
        <v>0</v>
      </c>
      <c r="K975">
        <f t="shared" si="62"/>
        <v>0</v>
      </c>
      <c r="L975">
        <f t="shared" si="63"/>
        <v>0</v>
      </c>
    </row>
    <row r="976" spans="1:12" x14ac:dyDescent="0.35">
      <c r="A976" s="1" t="s">
        <v>39</v>
      </c>
      <c r="B976">
        <v>0.41782794400000001</v>
      </c>
      <c r="C976">
        <v>2.3392E-3</v>
      </c>
      <c r="D976">
        <v>0</v>
      </c>
      <c r="E976">
        <v>0</v>
      </c>
      <c r="F976">
        <v>0</v>
      </c>
      <c r="G976">
        <v>490.74191000000002</v>
      </c>
      <c r="I976">
        <f t="shared" si="60"/>
        <v>0.11204704805350077</v>
      </c>
      <c r="J976">
        <f t="shared" si="61"/>
        <v>0</v>
      </c>
      <c r="K976">
        <f t="shared" si="62"/>
        <v>0</v>
      </c>
      <c r="L976">
        <f t="shared" si="63"/>
        <v>0</v>
      </c>
    </row>
    <row r="977" spans="1:12" x14ac:dyDescent="0.35">
      <c r="A977" s="1" t="s">
        <v>79</v>
      </c>
      <c r="B977">
        <v>0.21199999999999999</v>
      </c>
      <c r="C977">
        <v>0</v>
      </c>
      <c r="D977">
        <v>-2.53358734</v>
      </c>
      <c r="E977">
        <v>0</v>
      </c>
      <c r="F977">
        <v>0</v>
      </c>
      <c r="G977">
        <v>491.00090999999998</v>
      </c>
      <c r="I977">
        <f t="shared" si="60"/>
        <v>0</v>
      </c>
      <c r="J977">
        <f t="shared" si="61"/>
        <v>-50.706825936458621</v>
      </c>
      <c r="K977">
        <f t="shared" si="62"/>
        <v>0</v>
      </c>
      <c r="L977">
        <f t="shared" si="63"/>
        <v>0</v>
      </c>
    </row>
    <row r="978" spans="1:12" x14ac:dyDescent="0.35">
      <c r="A978" s="1" t="s">
        <v>80</v>
      </c>
      <c r="B978">
        <v>0.16600000000000001</v>
      </c>
      <c r="C978">
        <v>0</v>
      </c>
      <c r="D978">
        <v>0</v>
      </c>
      <c r="E978">
        <v>-202.23429300000001</v>
      </c>
      <c r="F978">
        <v>0</v>
      </c>
      <c r="G978">
        <v>491.24191000000002</v>
      </c>
      <c r="I978">
        <f t="shared" si="60"/>
        <v>0</v>
      </c>
      <c r="J978">
        <f t="shared" si="61"/>
        <v>0</v>
      </c>
      <c r="K978">
        <f t="shared" si="62"/>
        <v>-4047.4859230760812</v>
      </c>
      <c r="L978">
        <f t="shared" si="63"/>
        <v>0</v>
      </c>
    </row>
    <row r="979" spans="1:12" x14ac:dyDescent="0.35">
      <c r="A979" s="1" t="s">
        <v>81</v>
      </c>
      <c r="B979">
        <v>0.09</v>
      </c>
      <c r="C979">
        <v>0</v>
      </c>
      <c r="D979">
        <v>0</v>
      </c>
      <c r="E979">
        <v>0</v>
      </c>
      <c r="F979">
        <v>-13632</v>
      </c>
      <c r="G979">
        <v>491.78276</v>
      </c>
      <c r="I979">
        <f t="shared" si="60"/>
        <v>0</v>
      </c>
      <c r="J979">
        <f t="shared" si="61"/>
        <v>0</v>
      </c>
      <c r="K979">
        <f t="shared" si="62"/>
        <v>0</v>
      </c>
      <c r="L979">
        <f t="shared" si="63"/>
        <v>-272828.74375501258</v>
      </c>
    </row>
    <row r="980" spans="1:12" x14ac:dyDescent="0.35">
      <c r="A980" s="1" t="s">
        <v>82</v>
      </c>
      <c r="B980">
        <v>0.21199999999999999</v>
      </c>
      <c r="C980">
        <v>0</v>
      </c>
      <c r="D980">
        <v>2.47240752</v>
      </c>
      <c r="E980">
        <v>0</v>
      </c>
      <c r="F980">
        <v>0</v>
      </c>
      <c r="G980">
        <v>492.05475999999999</v>
      </c>
      <c r="I980">
        <f t="shared" si="60"/>
        <v>0</v>
      </c>
      <c r="J980">
        <f t="shared" si="61"/>
        <v>49.48238246273813</v>
      </c>
      <c r="K980">
        <f t="shared" si="62"/>
        <v>0</v>
      </c>
      <c r="L980">
        <f t="shared" si="63"/>
        <v>0</v>
      </c>
    </row>
    <row r="981" spans="1:12" x14ac:dyDescent="0.35">
      <c r="A981" s="1" t="s">
        <v>83</v>
      </c>
      <c r="B981">
        <v>0.1</v>
      </c>
      <c r="C981">
        <v>0</v>
      </c>
      <c r="D981">
        <v>0</v>
      </c>
      <c r="E981">
        <v>172.62799999999999</v>
      </c>
      <c r="F981">
        <v>0</v>
      </c>
      <c r="G981">
        <v>492.22976</v>
      </c>
      <c r="I981">
        <f t="shared" si="60"/>
        <v>0</v>
      </c>
      <c r="J981">
        <f t="shared" si="61"/>
        <v>0</v>
      </c>
      <c r="K981">
        <f t="shared" si="62"/>
        <v>3454.9501450220296</v>
      </c>
      <c r="L981">
        <f t="shared" si="63"/>
        <v>0</v>
      </c>
    </row>
    <row r="982" spans="1:12" x14ac:dyDescent="0.35">
      <c r="A982" s="1" t="s">
        <v>83</v>
      </c>
      <c r="B982">
        <v>0.1</v>
      </c>
      <c r="C982">
        <v>0</v>
      </c>
      <c r="D982">
        <v>0</v>
      </c>
      <c r="E982">
        <v>172.62799999999999</v>
      </c>
      <c r="F982">
        <v>0</v>
      </c>
      <c r="G982">
        <f>0.1+492.22976</f>
        <v>492.32976000000002</v>
      </c>
      <c r="I982">
        <f t="shared" si="60"/>
        <v>0</v>
      </c>
      <c r="J982">
        <f t="shared" si="61"/>
        <v>0</v>
      </c>
      <c r="K982">
        <f t="shared" si="62"/>
        <v>3454.9501450220296</v>
      </c>
      <c r="L982">
        <f t="shared" si="63"/>
        <v>0</v>
      </c>
    </row>
    <row r="983" spans="1:12" x14ac:dyDescent="0.35">
      <c r="A983" s="1" t="s">
        <v>84</v>
      </c>
      <c r="B983">
        <v>0.21199999999999999</v>
      </c>
      <c r="C983">
        <v>0</v>
      </c>
      <c r="D983">
        <v>2.47240752</v>
      </c>
      <c r="E983">
        <v>0</v>
      </c>
      <c r="F983">
        <v>0</v>
      </c>
      <c r="G983">
        <v>492.61676</v>
      </c>
      <c r="I983">
        <f t="shared" si="60"/>
        <v>0</v>
      </c>
      <c r="J983">
        <f t="shared" si="61"/>
        <v>49.48238246273813</v>
      </c>
      <c r="K983">
        <f t="shared" si="62"/>
        <v>0</v>
      </c>
      <c r="L983">
        <f t="shared" si="63"/>
        <v>0</v>
      </c>
    </row>
    <row r="984" spans="1:12" x14ac:dyDescent="0.35">
      <c r="A984" s="1" t="s">
        <v>85</v>
      </c>
      <c r="B984">
        <v>0.16600000000000001</v>
      </c>
      <c r="C984">
        <v>0</v>
      </c>
      <c r="D984">
        <v>0</v>
      </c>
      <c r="E984">
        <v>-132.861086</v>
      </c>
      <c r="F984">
        <v>0</v>
      </c>
      <c r="G984">
        <v>493.38360999999998</v>
      </c>
      <c r="I984">
        <f t="shared" si="60"/>
        <v>0</v>
      </c>
      <c r="J984">
        <f t="shared" si="61"/>
        <v>0</v>
      </c>
      <c r="K984">
        <f t="shared" si="62"/>
        <v>-2659.0612666744933</v>
      </c>
      <c r="L984">
        <f t="shared" si="63"/>
        <v>0</v>
      </c>
    </row>
    <row r="985" spans="1:12" x14ac:dyDescent="0.35">
      <c r="A985" s="1" t="s">
        <v>86</v>
      </c>
      <c r="B985">
        <v>0.21199999999999999</v>
      </c>
      <c r="C985">
        <v>0</v>
      </c>
      <c r="D985">
        <v>-2.3709669899999999</v>
      </c>
      <c r="E985">
        <v>0</v>
      </c>
      <c r="F985">
        <v>0</v>
      </c>
      <c r="G985">
        <v>493.67061000000001</v>
      </c>
      <c r="I985">
        <f t="shared" si="60"/>
        <v>0</v>
      </c>
      <c r="J985">
        <f t="shared" si="61"/>
        <v>-47.452167353748784</v>
      </c>
      <c r="K985">
        <f t="shared" si="62"/>
        <v>0</v>
      </c>
      <c r="L985">
        <f t="shared" si="63"/>
        <v>0</v>
      </c>
    </row>
    <row r="986" spans="1:12" x14ac:dyDescent="0.35">
      <c r="A986" s="1" t="s">
        <v>48</v>
      </c>
      <c r="B986">
        <v>0.41782794400000001</v>
      </c>
      <c r="C986">
        <v>2.3392E-3</v>
      </c>
      <c r="D986">
        <v>0</v>
      </c>
      <c r="E986">
        <v>0</v>
      </c>
      <c r="F986">
        <v>0</v>
      </c>
      <c r="G986">
        <v>494.13544000000002</v>
      </c>
      <c r="I986">
        <f t="shared" si="60"/>
        <v>0.11204704805350077</v>
      </c>
      <c r="J986">
        <f t="shared" si="61"/>
        <v>0</v>
      </c>
      <c r="K986">
        <f t="shared" si="62"/>
        <v>0</v>
      </c>
      <c r="L986">
        <f t="shared" si="63"/>
        <v>0</v>
      </c>
    </row>
    <row r="987" spans="1:12" x14ac:dyDescent="0.35">
      <c r="A987" s="1" t="s">
        <v>49</v>
      </c>
      <c r="B987">
        <v>0.41782808399999999</v>
      </c>
      <c r="C987">
        <v>3.2192000000000002E-3</v>
      </c>
      <c r="D987">
        <v>0</v>
      </c>
      <c r="E987">
        <v>0</v>
      </c>
      <c r="F987">
        <v>0</v>
      </c>
      <c r="G987">
        <v>494.55327</v>
      </c>
      <c r="I987">
        <f t="shared" si="60"/>
        <v>0.15419875865034546</v>
      </c>
      <c r="J987">
        <f t="shared" si="61"/>
        <v>0</v>
      </c>
      <c r="K987">
        <f t="shared" si="62"/>
        <v>0</v>
      </c>
      <c r="L987">
        <f t="shared" si="63"/>
        <v>0</v>
      </c>
    </row>
    <row r="988" spans="1:12" x14ac:dyDescent="0.35">
      <c r="A988" s="1" t="s">
        <v>50</v>
      </c>
      <c r="B988">
        <v>0.41782827500000003</v>
      </c>
      <c r="C988">
        <v>4.1392E-3</v>
      </c>
      <c r="D988">
        <v>0</v>
      </c>
      <c r="E988">
        <v>0</v>
      </c>
      <c r="F988">
        <v>0</v>
      </c>
      <c r="G988">
        <v>494.97109999999998</v>
      </c>
      <c r="I988">
        <f t="shared" si="60"/>
        <v>0.19826640470947862</v>
      </c>
      <c r="J988">
        <f t="shared" si="61"/>
        <v>0</v>
      </c>
      <c r="K988">
        <f t="shared" si="62"/>
        <v>0</v>
      </c>
      <c r="L988">
        <f t="shared" si="63"/>
        <v>0</v>
      </c>
    </row>
    <row r="989" spans="1:12" x14ac:dyDescent="0.35">
      <c r="A989" s="1" t="s">
        <v>51</v>
      </c>
      <c r="B989">
        <v>0.41782864199999997</v>
      </c>
      <c r="C989">
        <v>5.4992000000000001E-3</v>
      </c>
      <c r="D989">
        <v>0</v>
      </c>
      <c r="E989">
        <v>0</v>
      </c>
      <c r="F989">
        <v>0</v>
      </c>
      <c r="G989">
        <v>495.38893000000002</v>
      </c>
      <c r="I989">
        <f t="shared" si="60"/>
        <v>0.26340975432619773</v>
      </c>
      <c r="J989">
        <f t="shared" si="61"/>
        <v>0</v>
      </c>
      <c r="K989">
        <f t="shared" si="62"/>
        <v>0</v>
      </c>
      <c r="L989">
        <f t="shared" si="63"/>
        <v>0</v>
      </c>
    </row>
    <row r="990" spans="1:12" x14ac:dyDescent="0.35">
      <c r="A990" s="1" t="s">
        <v>52</v>
      </c>
      <c r="B990">
        <v>0.41783028900000002</v>
      </c>
      <c r="C990">
        <v>9.4690999999999994E-3</v>
      </c>
      <c r="D990">
        <v>0</v>
      </c>
      <c r="E990">
        <v>0</v>
      </c>
      <c r="F990">
        <v>0</v>
      </c>
      <c r="G990">
        <v>495.80676</v>
      </c>
      <c r="I990">
        <f t="shared" si="60"/>
        <v>0.45356478630764774</v>
      </c>
      <c r="J990">
        <f t="shared" si="61"/>
        <v>0</v>
      </c>
      <c r="K990">
        <f t="shared" si="62"/>
        <v>0</v>
      </c>
      <c r="L990">
        <f t="shared" si="63"/>
        <v>0</v>
      </c>
    </row>
    <row r="991" spans="1:12" x14ac:dyDescent="0.35">
      <c r="A991" s="1" t="s">
        <v>87</v>
      </c>
      <c r="B991">
        <v>0.16200000000000001</v>
      </c>
      <c r="C991">
        <v>0</v>
      </c>
      <c r="D991">
        <v>-2.8698264299999998</v>
      </c>
      <c r="E991">
        <v>0</v>
      </c>
      <c r="F991">
        <v>0</v>
      </c>
      <c r="G991">
        <v>496.01576</v>
      </c>
      <c r="I991">
        <f t="shared" si="60"/>
        <v>0</v>
      </c>
      <c r="J991">
        <f t="shared" si="61"/>
        <v>-57.436263181619168</v>
      </c>
      <c r="K991">
        <f t="shared" si="62"/>
        <v>0</v>
      </c>
      <c r="L991">
        <f t="shared" si="63"/>
        <v>0</v>
      </c>
    </row>
    <row r="992" spans="1:12" x14ac:dyDescent="0.35">
      <c r="A992" s="1" t="s">
        <v>54</v>
      </c>
      <c r="B992">
        <v>0.1</v>
      </c>
      <c r="C992">
        <v>0</v>
      </c>
      <c r="D992">
        <v>0</v>
      </c>
      <c r="E992">
        <v>0</v>
      </c>
      <c r="F992">
        <v>0</v>
      </c>
      <c r="G992">
        <v>496.34575999999998</v>
      </c>
      <c r="I992">
        <f t="shared" si="60"/>
        <v>0</v>
      </c>
      <c r="J992">
        <f t="shared" si="61"/>
        <v>0</v>
      </c>
      <c r="K992">
        <f t="shared" si="62"/>
        <v>0</v>
      </c>
      <c r="L992">
        <f t="shared" si="63"/>
        <v>0</v>
      </c>
    </row>
    <row r="993" spans="1:12" x14ac:dyDescent="0.35">
      <c r="A993" s="1" t="s">
        <v>88</v>
      </c>
      <c r="B993">
        <v>0.29499999999999998</v>
      </c>
      <c r="C993">
        <v>0</v>
      </c>
      <c r="D993">
        <v>2.43875777</v>
      </c>
      <c r="E993">
        <v>0</v>
      </c>
      <c r="F993">
        <v>0</v>
      </c>
      <c r="G993">
        <v>496.75076000000001</v>
      </c>
      <c r="I993">
        <f t="shared" si="60"/>
        <v>0</v>
      </c>
      <c r="J993">
        <f t="shared" si="61"/>
        <v>48.808921560436907</v>
      </c>
      <c r="K993">
        <f t="shared" si="62"/>
        <v>0</v>
      </c>
      <c r="L993">
        <f t="shared" si="63"/>
        <v>0</v>
      </c>
    </row>
    <row r="994" spans="1:12" x14ac:dyDescent="0.35">
      <c r="A994" s="1" t="s">
        <v>56</v>
      </c>
      <c r="B994">
        <v>0.29499999999999998</v>
      </c>
      <c r="C994">
        <v>0</v>
      </c>
      <c r="D994">
        <v>2.43875777</v>
      </c>
      <c r="E994">
        <v>0</v>
      </c>
      <c r="F994">
        <v>0</v>
      </c>
      <c r="G994">
        <v>502.62391000000002</v>
      </c>
      <c r="I994">
        <f t="shared" si="60"/>
        <v>0</v>
      </c>
      <c r="J994">
        <f t="shared" si="61"/>
        <v>48.808921560436907</v>
      </c>
      <c r="K994">
        <f t="shared" si="62"/>
        <v>0</v>
      </c>
      <c r="L994">
        <f t="shared" si="63"/>
        <v>0</v>
      </c>
    </row>
    <row r="995" spans="1:12" x14ac:dyDescent="0.35">
      <c r="A995" s="1" t="s">
        <v>2</v>
      </c>
      <c r="B995">
        <v>0.1</v>
      </c>
      <c r="C995">
        <v>0</v>
      </c>
      <c r="D995">
        <v>0</v>
      </c>
      <c r="E995">
        <v>0</v>
      </c>
      <c r="F995">
        <v>0</v>
      </c>
      <c r="G995">
        <v>502.83391</v>
      </c>
      <c r="I995">
        <f t="shared" si="60"/>
        <v>0</v>
      </c>
      <c r="J995">
        <f t="shared" si="61"/>
        <v>0</v>
      </c>
      <c r="K995">
        <f t="shared" si="62"/>
        <v>0</v>
      </c>
      <c r="L995">
        <f t="shared" si="63"/>
        <v>0</v>
      </c>
    </row>
    <row r="996" spans="1:12" x14ac:dyDescent="0.35">
      <c r="A996" s="1" t="s">
        <v>57</v>
      </c>
      <c r="B996">
        <v>0.16200000000000001</v>
      </c>
      <c r="C996">
        <v>0</v>
      </c>
      <c r="D996">
        <v>-2.8698264299999998</v>
      </c>
      <c r="E996">
        <v>0</v>
      </c>
      <c r="F996">
        <v>0</v>
      </c>
      <c r="G996">
        <v>503.22591</v>
      </c>
      <c r="I996">
        <f t="shared" si="60"/>
        <v>0</v>
      </c>
      <c r="J996">
        <f t="shared" si="61"/>
        <v>-57.436263181619168</v>
      </c>
      <c r="K996">
        <f t="shared" si="62"/>
        <v>0</v>
      </c>
      <c r="L996">
        <f t="shared" si="63"/>
        <v>0</v>
      </c>
    </row>
    <row r="997" spans="1:12" x14ac:dyDescent="0.35">
      <c r="A997" s="1" t="s">
        <v>58</v>
      </c>
      <c r="B997">
        <v>0.41783028900000002</v>
      </c>
      <c r="C997">
        <v>9.4690999999999994E-3</v>
      </c>
      <c r="D997">
        <v>0</v>
      </c>
      <c r="E997">
        <v>0</v>
      </c>
      <c r="F997">
        <v>0</v>
      </c>
      <c r="G997">
        <v>503.69074000000001</v>
      </c>
      <c r="I997">
        <f t="shared" si="60"/>
        <v>0.45356478630764774</v>
      </c>
      <c r="J997">
        <f t="shared" si="61"/>
        <v>0</v>
      </c>
      <c r="K997">
        <f t="shared" si="62"/>
        <v>0</v>
      </c>
      <c r="L997">
        <f t="shared" si="63"/>
        <v>0</v>
      </c>
    </row>
    <row r="998" spans="1:12" x14ac:dyDescent="0.35">
      <c r="A998" s="1" t="s">
        <v>59</v>
      </c>
      <c r="B998">
        <v>0.41782864199999997</v>
      </c>
      <c r="C998">
        <v>5.4992000000000001E-3</v>
      </c>
      <c r="D998">
        <v>0</v>
      </c>
      <c r="E998">
        <v>0</v>
      </c>
      <c r="F998">
        <v>0</v>
      </c>
      <c r="G998">
        <v>504.10856999999999</v>
      </c>
      <c r="I998">
        <f t="shared" si="60"/>
        <v>0.26340975432619773</v>
      </c>
      <c r="J998">
        <f t="shared" si="61"/>
        <v>0</v>
      </c>
      <c r="K998">
        <f t="shared" si="62"/>
        <v>0</v>
      </c>
      <c r="L998">
        <f t="shared" si="63"/>
        <v>0</v>
      </c>
    </row>
    <row r="999" spans="1:12" x14ac:dyDescent="0.35">
      <c r="A999" s="1" t="s">
        <v>60</v>
      </c>
      <c r="B999">
        <v>0.41782827500000003</v>
      </c>
      <c r="C999">
        <v>4.1392E-3</v>
      </c>
      <c r="D999">
        <v>0</v>
      </c>
      <c r="E999">
        <v>0</v>
      </c>
      <c r="F999">
        <v>0</v>
      </c>
      <c r="G999">
        <v>504.52640000000002</v>
      </c>
      <c r="I999">
        <f t="shared" si="60"/>
        <v>0.19826640470947862</v>
      </c>
      <c r="J999">
        <f t="shared" si="61"/>
        <v>0</v>
      </c>
      <c r="K999">
        <f t="shared" si="62"/>
        <v>0</v>
      </c>
      <c r="L999">
        <f t="shared" si="63"/>
        <v>0</v>
      </c>
    </row>
    <row r="1000" spans="1:12" x14ac:dyDescent="0.35">
      <c r="A1000" s="1" t="s">
        <v>61</v>
      </c>
      <c r="B1000">
        <v>0.41782808399999999</v>
      </c>
      <c r="C1000">
        <v>3.2192000000000002E-3</v>
      </c>
      <c r="D1000">
        <v>0</v>
      </c>
      <c r="E1000">
        <v>0</v>
      </c>
      <c r="F1000">
        <v>0</v>
      </c>
      <c r="G1000">
        <v>504.94421999999997</v>
      </c>
      <c r="I1000">
        <f t="shared" si="60"/>
        <v>0.15419875865034546</v>
      </c>
      <c r="J1000">
        <f t="shared" si="61"/>
        <v>0</v>
      </c>
      <c r="K1000">
        <f t="shared" si="62"/>
        <v>0</v>
      </c>
      <c r="L1000">
        <f t="shared" si="63"/>
        <v>0</v>
      </c>
    </row>
    <row r="1001" spans="1:12" x14ac:dyDescent="0.35">
      <c r="A1001" s="1" t="s">
        <v>62</v>
      </c>
      <c r="B1001">
        <v>0.41782794400000001</v>
      </c>
      <c r="C1001">
        <v>2.3392E-3</v>
      </c>
      <c r="D1001">
        <v>0</v>
      </c>
      <c r="E1001">
        <v>0</v>
      </c>
      <c r="F1001">
        <v>0</v>
      </c>
      <c r="G1001">
        <v>505.36205000000001</v>
      </c>
      <c r="I1001">
        <f t="shared" si="60"/>
        <v>0.11204704805350077</v>
      </c>
      <c r="J1001">
        <f t="shared" si="61"/>
        <v>0</v>
      </c>
      <c r="K1001">
        <f t="shared" si="62"/>
        <v>0</v>
      </c>
      <c r="L1001">
        <f t="shared" si="63"/>
        <v>0</v>
      </c>
    </row>
    <row r="1002" spans="1:12" x14ac:dyDescent="0.35">
      <c r="A1002" s="1" t="s">
        <v>63</v>
      </c>
      <c r="B1002">
        <v>0.21199999999999999</v>
      </c>
      <c r="C1002">
        <v>0</v>
      </c>
      <c r="D1002">
        <v>-2.3709669899999999</v>
      </c>
      <c r="E1002">
        <v>0</v>
      </c>
      <c r="F1002">
        <v>0</v>
      </c>
      <c r="G1002">
        <v>505.62105000000003</v>
      </c>
      <c r="I1002">
        <f t="shared" si="60"/>
        <v>0</v>
      </c>
      <c r="J1002">
        <f t="shared" si="61"/>
        <v>-47.452167353748784</v>
      </c>
      <c r="K1002">
        <f t="shared" si="62"/>
        <v>0</v>
      </c>
      <c r="L1002">
        <f t="shared" si="63"/>
        <v>0</v>
      </c>
    </row>
    <row r="1003" spans="1:12" x14ac:dyDescent="0.35">
      <c r="A1003" s="1" t="s">
        <v>64</v>
      </c>
      <c r="B1003">
        <v>0.16600000000000001</v>
      </c>
      <c r="C1003">
        <v>0</v>
      </c>
      <c r="D1003">
        <v>0</v>
      </c>
      <c r="E1003">
        <v>-132.861086</v>
      </c>
      <c r="F1003">
        <v>0</v>
      </c>
      <c r="G1003">
        <v>505.86205000000001</v>
      </c>
      <c r="I1003">
        <f t="shared" si="60"/>
        <v>0</v>
      </c>
      <c r="J1003">
        <f t="shared" si="61"/>
        <v>0</v>
      </c>
      <c r="K1003">
        <f t="shared" si="62"/>
        <v>-2659.0612666744933</v>
      </c>
      <c r="L1003">
        <f t="shared" si="63"/>
        <v>0</v>
      </c>
    </row>
    <row r="1004" spans="1:12" x14ac:dyDescent="0.35">
      <c r="A1004" s="1" t="s">
        <v>65</v>
      </c>
      <c r="B1004">
        <v>0.21199999999999999</v>
      </c>
      <c r="C1004">
        <v>0</v>
      </c>
      <c r="D1004">
        <v>2.47240752</v>
      </c>
      <c r="E1004">
        <v>0</v>
      </c>
      <c r="F1004">
        <v>0</v>
      </c>
      <c r="G1004">
        <v>506.67491000000001</v>
      </c>
      <c r="I1004">
        <f t="shared" si="60"/>
        <v>0</v>
      </c>
      <c r="J1004">
        <f t="shared" si="61"/>
        <v>49.48238246273813</v>
      </c>
      <c r="K1004">
        <f t="shared" si="62"/>
        <v>0</v>
      </c>
      <c r="L1004">
        <f t="shared" si="63"/>
        <v>0</v>
      </c>
    </row>
    <row r="1005" spans="1:12" x14ac:dyDescent="0.35">
      <c r="A1005" s="1" t="s">
        <v>66</v>
      </c>
      <c r="B1005">
        <v>0.1</v>
      </c>
      <c r="C1005">
        <v>0</v>
      </c>
      <c r="D1005">
        <v>0</v>
      </c>
      <c r="E1005">
        <v>172.62799999999999</v>
      </c>
      <c r="F1005">
        <v>0</v>
      </c>
      <c r="G1005">
        <v>506.84991000000002</v>
      </c>
      <c r="I1005">
        <f t="shared" si="60"/>
        <v>0</v>
      </c>
      <c r="J1005">
        <f t="shared" si="61"/>
        <v>0</v>
      </c>
      <c r="K1005">
        <f t="shared" si="62"/>
        <v>3454.9501450220296</v>
      </c>
      <c r="L1005">
        <f t="shared" si="63"/>
        <v>0</v>
      </c>
    </row>
    <row r="1006" spans="1:12" x14ac:dyDescent="0.35">
      <c r="A1006" s="1" t="s">
        <v>66</v>
      </c>
      <c r="B1006">
        <v>0.1</v>
      </c>
      <c r="C1006">
        <v>0</v>
      </c>
      <c r="D1006">
        <v>0</v>
      </c>
      <c r="E1006">
        <v>172.62799999999999</v>
      </c>
      <c r="F1006">
        <v>0</v>
      </c>
      <c r="G1006">
        <f>506.84991+0.1</f>
        <v>506.94991000000005</v>
      </c>
      <c r="I1006">
        <f t="shared" si="60"/>
        <v>0</v>
      </c>
      <c r="J1006">
        <f t="shared" si="61"/>
        <v>0</v>
      </c>
      <c r="K1006">
        <f t="shared" si="62"/>
        <v>3454.9501450220296</v>
      </c>
      <c r="L1006">
        <f t="shared" si="63"/>
        <v>0</v>
      </c>
    </row>
    <row r="1007" spans="1:12" x14ac:dyDescent="0.35">
      <c r="A1007" s="1" t="s">
        <v>67</v>
      </c>
      <c r="B1007">
        <v>0.21199999999999999</v>
      </c>
      <c r="C1007">
        <v>0</v>
      </c>
      <c r="D1007">
        <v>2.47240752</v>
      </c>
      <c r="E1007">
        <v>0</v>
      </c>
      <c r="F1007">
        <v>0</v>
      </c>
      <c r="G1007">
        <v>507.23691000000002</v>
      </c>
      <c r="I1007">
        <f t="shared" si="60"/>
        <v>0</v>
      </c>
      <c r="J1007">
        <f t="shared" si="61"/>
        <v>49.48238246273813</v>
      </c>
      <c r="K1007">
        <f t="shared" si="62"/>
        <v>0</v>
      </c>
      <c r="L1007">
        <f t="shared" si="63"/>
        <v>0</v>
      </c>
    </row>
    <row r="1008" spans="1:12" x14ac:dyDescent="0.35">
      <c r="A1008" s="1" t="s">
        <v>68</v>
      </c>
      <c r="B1008">
        <v>0.09</v>
      </c>
      <c r="C1008">
        <v>0</v>
      </c>
      <c r="D1008">
        <v>0</v>
      </c>
      <c r="E1008">
        <v>0</v>
      </c>
      <c r="F1008">
        <v>-13632</v>
      </c>
      <c r="G1008">
        <v>507.38691</v>
      </c>
      <c r="I1008">
        <f t="shared" si="60"/>
        <v>0</v>
      </c>
      <c r="J1008">
        <f t="shared" si="61"/>
        <v>0</v>
      </c>
      <c r="K1008">
        <f t="shared" si="62"/>
        <v>0</v>
      </c>
      <c r="L1008">
        <f t="shared" si="63"/>
        <v>-272828.74375501258</v>
      </c>
    </row>
    <row r="1009" spans="1:12" x14ac:dyDescent="0.35">
      <c r="A1009" s="1" t="s">
        <v>69</v>
      </c>
      <c r="B1009">
        <v>0.16600000000000001</v>
      </c>
      <c r="C1009">
        <v>0</v>
      </c>
      <c r="D1009">
        <v>0</v>
      </c>
      <c r="E1009">
        <v>-202.23429300000001</v>
      </c>
      <c r="F1009">
        <v>0</v>
      </c>
      <c r="G1009">
        <v>508.00376</v>
      </c>
      <c r="I1009">
        <f t="shared" si="60"/>
        <v>0</v>
      </c>
      <c r="J1009">
        <f t="shared" si="61"/>
        <v>0</v>
      </c>
      <c r="K1009">
        <f t="shared" si="62"/>
        <v>-4047.4859230760812</v>
      </c>
      <c r="L1009">
        <f t="shared" si="63"/>
        <v>0</v>
      </c>
    </row>
    <row r="1010" spans="1:12" x14ac:dyDescent="0.35">
      <c r="A1010" s="1" t="s">
        <v>70</v>
      </c>
      <c r="B1010">
        <v>0.21199999999999999</v>
      </c>
      <c r="C1010">
        <v>0</v>
      </c>
      <c r="D1010">
        <v>-2.53358734</v>
      </c>
      <c r="E1010">
        <v>0</v>
      </c>
      <c r="F1010">
        <v>0</v>
      </c>
      <c r="G1010">
        <v>508.29075999999998</v>
      </c>
      <c r="I1010">
        <f t="shared" si="60"/>
        <v>0</v>
      </c>
      <c r="J1010">
        <f t="shared" si="61"/>
        <v>-50.706825936458621</v>
      </c>
      <c r="K1010">
        <f t="shared" si="62"/>
        <v>0</v>
      </c>
      <c r="L1010">
        <f t="shared" si="63"/>
        <v>0</v>
      </c>
    </row>
    <row r="1011" spans="1:12" x14ac:dyDescent="0.35">
      <c r="A1011" s="1" t="s">
        <v>20</v>
      </c>
      <c r="B1011">
        <v>0.41782794400000001</v>
      </c>
      <c r="C1011">
        <v>2.3392E-3</v>
      </c>
      <c r="D1011">
        <v>0</v>
      </c>
      <c r="E1011">
        <v>0</v>
      </c>
      <c r="F1011">
        <v>0</v>
      </c>
      <c r="G1011">
        <v>508.75558999999998</v>
      </c>
      <c r="I1011">
        <f t="shared" si="60"/>
        <v>0.11204704805350077</v>
      </c>
      <c r="J1011">
        <f t="shared" si="61"/>
        <v>0</v>
      </c>
      <c r="K1011">
        <f t="shared" si="62"/>
        <v>0</v>
      </c>
      <c r="L1011">
        <f t="shared" si="63"/>
        <v>0</v>
      </c>
    </row>
    <row r="1012" spans="1:12" x14ac:dyDescent="0.35">
      <c r="A1012" s="1" t="s">
        <v>21</v>
      </c>
      <c r="B1012">
        <v>0.41782808399999999</v>
      </c>
      <c r="C1012">
        <v>3.2192000000000002E-3</v>
      </c>
      <c r="D1012">
        <v>0</v>
      </c>
      <c r="E1012">
        <v>0</v>
      </c>
      <c r="F1012">
        <v>0</v>
      </c>
      <c r="G1012">
        <v>509.17340999999999</v>
      </c>
      <c r="I1012">
        <f t="shared" si="60"/>
        <v>0.15419875865034546</v>
      </c>
      <c r="J1012">
        <f t="shared" si="61"/>
        <v>0</v>
      </c>
      <c r="K1012">
        <f t="shared" si="62"/>
        <v>0</v>
      </c>
      <c r="L1012">
        <f t="shared" si="63"/>
        <v>0</v>
      </c>
    </row>
    <row r="1013" spans="1:12" x14ac:dyDescent="0.35">
      <c r="A1013" s="1" t="s">
        <v>22</v>
      </c>
      <c r="B1013">
        <v>0.41782827500000003</v>
      </c>
      <c r="C1013">
        <v>4.1392E-3</v>
      </c>
      <c r="D1013">
        <v>0</v>
      </c>
      <c r="E1013">
        <v>0</v>
      </c>
      <c r="F1013">
        <v>0</v>
      </c>
      <c r="G1013">
        <v>509.59124000000003</v>
      </c>
      <c r="I1013">
        <f t="shared" si="60"/>
        <v>0.19826640470947862</v>
      </c>
      <c r="J1013">
        <f t="shared" si="61"/>
        <v>0</v>
      </c>
      <c r="K1013">
        <f t="shared" si="62"/>
        <v>0</v>
      </c>
      <c r="L1013">
        <f t="shared" si="63"/>
        <v>0</v>
      </c>
    </row>
    <row r="1014" spans="1:12" x14ac:dyDescent="0.35">
      <c r="A1014" s="1" t="s">
        <v>23</v>
      </c>
      <c r="B1014">
        <v>0.41782864199999997</v>
      </c>
      <c r="C1014">
        <v>5.4992000000000001E-3</v>
      </c>
      <c r="D1014">
        <v>0</v>
      </c>
      <c r="E1014">
        <v>0</v>
      </c>
      <c r="F1014">
        <v>0</v>
      </c>
      <c r="G1014">
        <v>510.00907000000001</v>
      </c>
      <c r="I1014">
        <f t="shared" si="60"/>
        <v>0.26340975432619773</v>
      </c>
      <c r="J1014">
        <f t="shared" si="61"/>
        <v>0</v>
      </c>
      <c r="K1014">
        <f t="shared" si="62"/>
        <v>0</v>
      </c>
      <c r="L1014">
        <f t="shared" si="63"/>
        <v>0</v>
      </c>
    </row>
    <row r="1015" spans="1:12" x14ac:dyDescent="0.35">
      <c r="A1015" s="1" t="s">
        <v>24</v>
      </c>
      <c r="B1015">
        <v>0.41782941899999998</v>
      </c>
      <c r="C1015">
        <v>7.6290999999999998E-3</v>
      </c>
      <c r="D1015">
        <v>0</v>
      </c>
      <c r="E1015">
        <v>0</v>
      </c>
      <c r="F1015">
        <v>0</v>
      </c>
      <c r="G1015">
        <v>510.42689999999999</v>
      </c>
      <c r="I1015">
        <f t="shared" si="60"/>
        <v>0.36543053893202671</v>
      </c>
      <c r="J1015">
        <f t="shared" si="61"/>
        <v>0</v>
      </c>
      <c r="K1015">
        <f t="shared" si="62"/>
        <v>0</v>
      </c>
      <c r="L1015">
        <f t="shared" si="63"/>
        <v>0</v>
      </c>
    </row>
    <row r="1016" spans="1:12" x14ac:dyDescent="0.35">
      <c r="A1016" s="1" t="s">
        <v>71</v>
      </c>
      <c r="B1016">
        <v>0.3745</v>
      </c>
      <c r="C1016">
        <v>0</v>
      </c>
      <c r="D1016">
        <v>4.5116622</v>
      </c>
      <c r="E1016">
        <v>0</v>
      </c>
      <c r="F1016">
        <v>0</v>
      </c>
      <c r="G1016">
        <v>510.95139999999998</v>
      </c>
      <c r="I1016">
        <f t="shared" si="60"/>
        <v>0</v>
      </c>
      <c r="J1016">
        <f t="shared" si="61"/>
        <v>90.29571084748946</v>
      </c>
      <c r="K1016">
        <f t="shared" si="62"/>
        <v>0</v>
      </c>
      <c r="L1016">
        <f t="shared" si="63"/>
        <v>0</v>
      </c>
    </row>
    <row r="1017" spans="1:12" x14ac:dyDescent="0.35">
      <c r="A1017" s="1" t="s">
        <v>72</v>
      </c>
      <c r="B1017">
        <v>1.0280365199999999</v>
      </c>
      <c r="C1017">
        <v>2.4767999999999998E-2</v>
      </c>
      <c r="D1017">
        <v>-1.929</v>
      </c>
      <c r="E1017">
        <v>0</v>
      </c>
      <c r="F1017">
        <v>0</v>
      </c>
      <c r="G1017">
        <v>512.06943999999999</v>
      </c>
      <c r="I1017">
        <f t="shared" si="60"/>
        <v>0.48218416286837618</v>
      </c>
      <c r="J1017">
        <f t="shared" si="61"/>
        <v>-38.606708238220314</v>
      </c>
      <c r="K1017">
        <f t="shared" si="62"/>
        <v>0</v>
      </c>
      <c r="L1017">
        <f t="shared" si="63"/>
        <v>0</v>
      </c>
    </row>
    <row r="1018" spans="1:12" x14ac:dyDescent="0.35">
      <c r="A1018" s="1" t="s">
        <v>73</v>
      </c>
      <c r="B1018">
        <v>0.4975</v>
      </c>
      <c r="C1018">
        <v>0</v>
      </c>
      <c r="D1018">
        <v>4.61414189</v>
      </c>
      <c r="E1018">
        <v>0</v>
      </c>
      <c r="F1018">
        <v>0</v>
      </c>
      <c r="G1018">
        <v>512.65693999999996</v>
      </c>
      <c r="I1018">
        <f t="shared" si="60"/>
        <v>0</v>
      </c>
      <c r="J1018">
        <f t="shared" si="61"/>
        <v>92.346723544313335</v>
      </c>
      <c r="K1018">
        <f t="shared" si="62"/>
        <v>0</v>
      </c>
      <c r="L1018">
        <f t="shared" si="63"/>
        <v>0</v>
      </c>
    </row>
    <row r="1019" spans="1:12" x14ac:dyDescent="0.35">
      <c r="A1019" s="1" t="s">
        <v>28</v>
      </c>
      <c r="B1019">
        <v>0.1</v>
      </c>
      <c r="C1019">
        <v>0</v>
      </c>
      <c r="D1019">
        <v>0</v>
      </c>
      <c r="E1019">
        <v>0</v>
      </c>
      <c r="F1019">
        <v>0</v>
      </c>
      <c r="G1019">
        <v>512.82800999999995</v>
      </c>
      <c r="I1019">
        <f t="shared" si="60"/>
        <v>0</v>
      </c>
      <c r="J1019">
        <f t="shared" si="61"/>
        <v>0</v>
      </c>
      <c r="K1019">
        <f t="shared" si="62"/>
        <v>0</v>
      </c>
      <c r="L1019">
        <f t="shared" si="63"/>
        <v>0</v>
      </c>
    </row>
    <row r="1020" spans="1:12" x14ac:dyDescent="0.35">
      <c r="A1020" s="1" t="s">
        <v>74</v>
      </c>
      <c r="B1020">
        <v>0.40000102700000001</v>
      </c>
      <c r="C1020">
        <v>5.2300999999999997E-3</v>
      </c>
      <c r="D1020">
        <v>-1.5815999999999999</v>
      </c>
      <c r="E1020">
        <v>0</v>
      </c>
      <c r="F1020">
        <v>0</v>
      </c>
      <c r="G1020">
        <v>513.32101</v>
      </c>
      <c r="I1020">
        <f t="shared" si="60"/>
        <v>0.26168536331815889</v>
      </c>
      <c r="J1020">
        <f t="shared" si="61"/>
        <v>-31.653898263125576</v>
      </c>
      <c r="K1020">
        <f t="shared" si="62"/>
        <v>0</v>
      </c>
      <c r="L1020">
        <f t="shared" si="63"/>
        <v>0</v>
      </c>
    </row>
    <row r="1021" spans="1:12" x14ac:dyDescent="0.35">
      <c r="A1021" s="1" t="s">
        <v>30</v>
      </c>
      <c r="B1021">
        <v>2.44294E-2</v>
      </c>
      <c r="C1021">
        <v>1.0499000000000001E-3</v>
      </c>
      <c r="D1021">
        <v>0</v>
      </c>
      <c r="E1021">
        <v>0</v>
      </c>
      <c r="F1021">
        <v>0</v>
      </c>
      <c r="G1021">
        <v>513.41593999999998</v>
      </c>
      <c r="I1021">
        <f t="shared" si="60"/>
        <v>0.8601331402616047</v>
      </c>
      <c r="J1021">
        <f t="shared" si="61"/>
        <v>0</v>
      </c>
      <c r="K1021">
        <f t="shared" si="62"/>
        <v>0</v>
      </c>
      <c r="L1021">
        <f t="shared" si="63"/>
        <v>0</v>
      </c>
    </row>
    <row r="1022" spans="1:12" x14ac:dyDescent="0.35">
      <c r="A1022" s="1" t="s">
        <v>30</v>
      </c>
      <c r="B1022">
        <v>2.44294E-2</v>
      </c>
      <c r="C1022">
        <v>1.0499000000000001E-3</v>
      </c>
      <c r="D1022">
        <v>0</v>
      </c>
      <c r="E1022">
        <v>0</v>
      </c>
      <c r="F1022">
        <v>0</v>
      </c>
      <c r="G1022">
        <f>513.41594+0.0244294</f>
        <v>513.44036940000001</v>
      </c>
      <c r="I1022">
        <f t="shared" si="60"/>
        <v>0.8601331402616047</v>
      </c>
      <c r="J1022">
        <f t="shared" si="61"/>
        <v>0</v>
      </c>
      <c r="K1022">
        <f t="shared" si="62"/>
        <v>0</v>
      </c>
      <c r="L1022">
        <f t="shared" si="63"/>
        <v>0</v>
      </c>
    </row>
    <row r="1023" spans="1:12" x14ac:dyDescent="0.35">
      <c r="A1023" s="1" t="s">
        <v>75</v>
      </c>
      <c r="B1023">
        <v>0.40000102700000001</v>
      </c>
      <c r="C1023">
        <v>5.2300999999999997E-3</v>
      </c>
      <c r="D1023">
        <v>-1.5815999999999999</v>
      </c>
      <c r="E1023">
        <v>0</v>
      </c>
      <c r="F1023">
        <v>0</v>
      </c>
      <c r="G1023">
        <v>513.91087000000005</v>
      </c>
      <c r="I1023">
        <f t="shared" si="60"/>
        <v>0.26168536331815889</v>
      </c>
      <c r="J1023">
        <f t="shared" si="61"/>
        <v>-31.653898263125576</v>
      </c>
      <c r="K1023">
        <f t="shared" si="62"/>
        <v>0</v>
      </c>
      <c r="L1023">
        <f t="shared" si="63"/>
        <v>0</v>
      </c>
    </row>
    <row r="1024" spans="1:12" x14ac:dyDescent="0.35">
      <c r="A1024" s="1" t="s">
        <v>76</v>
      </c>
      <c r="B1024">
        <v>0.4975</v>
      </c>
      <c r="C1024">
        <v>0</v>
      </c>
      <c r="D1024">
        <v>4.61414189</v>
      </c>
      <c r="E1024">
        <v>0</v>
      </c>
      <c r="F1024">
        <v>0</v>
      </c>
      <c r="G1024">
        <v>514.67244000000005</v>
      </c>
      <c r="I1024">
        <f t="shared" si="60"/>
        <v>0</v>
      </c>
      <c r="J1024">
        <f t="shared" si="61"/>
        <v>92.346723544313335</v>
      </c>
      <c r="K1024">
        <f t="shared" si="62"/>
        <v>0</v>
      </c>
      <c r="L1024">
        <f t="shared" si="63"/>
        <v>0</v>
      </c>
    </row>
    <row r="1025" spans="1:12" x14ac:dyDescent="0.35">
      <c r="A1025" s="1" t="s">
        <v>77</v>
      </c>
      <c r="B1025">
        <v>1.0280365199999999</v>
      </c>
      <c r="C1025">
        <v>2.4767999999999998E-2</v>
      </c>
      <c r="D1025">
        <v>-1.929</v>
      </c>
      <c r="E1025">
        <v>0</v>
      </c>
      <c r="F1025">
        <v>0</v>
      </c>
      <c r="G1025">
        <v>515.79048</v>
      </c>
      <c r="I1025">
        <f t="shared" si="60"/>
        <v>0.48218416286837618</v>
      </c>
      <c r="J1025">
        <f t="shared" si="61"/>
        <v>-38.606708238220314</v>
      </c>
      <c r="K1025">
        <f t="shared" si="62"/>
        <v>0</v>
      </c>
      <c r="L1025">
        <f t="shared" si="63"/>
        <v>0</v>
      </c>
    </row>
    <row r="1026" spans="1:12" x14ac:dyDescent="0.35">
      <c r="A1026" s="1" t="s">
        <v>78</v>
      </c>
      <c r="B1026">
        <v>0.3745</v>
      </c>
      <c r="C1026">
        <v>0</v>
      </c>
      <c r="D1026">
        <v>4.5116622</v>
      </c>
      <c r="E1026">
        <v>0</v>
      </c>
      <c r="F1026">
        <v>0</v>
      </c>
      <c r="G1026">
        <v>516.25498000000005</v>
      </c>
      <c r="I1026">
        <f t="shared" si="60"/>
        <v>0</v>
      </c>
      <c r="J1026">
        <f t="shared" si="61"/>
        <v>90.29571084748946</v>
      </c>
      <c r="K1026">
        <f t="shared" si="62"/>
        <v>0</v>
      </c>
      <c r="L1026">
        <f t="shared" si="63"/>
        <v>0</v>
      </c>
    </row>
    <row r="1027" spans="1:12" x14ac:dyDescent="0.35">
      <c r="A1027" s="1" t="s">
        <v>35</v>
      </c>
      <c r="B1027">
        <v>0.41782941899999998</v>
      </c>
      <c r="C1027">
        <v>7.6290999999999998E-3</v>
      </c>
      <c r="D1027">
        <v>0</v>
      </c>
      <c r="E1027">
        <v>0</v>
      </c>
      <c r="F1027">
        <v>0</v>
      </c>
      <c r="G1027">
        <v>516.82281</v>
      </c>
      <c r="I1027">
        <f t="shared" si="60"/>
        <v>0.36543053893202671</v>
      </c>
      <c r="J1027">
        <f t="shared" si="61"/>
        <v>0</v>
      </c>
      <c r="K1027">
        <f t="shared" si="62"/>
        <v>0</v>
      </c>
      <c r="L1027">
        <f t="shared" si="63"/>
        <v>0</v>
      </c>
    </row>
    <row r="1028" spans="1:12" x14ac:dyDescent="0.35">
      <c r="A1028" s="1" t="s">
        <v>36</v>
      </c>
      <c r="B1028">
        <v>0.41782864199999997</v>
      </c>
      <c r="C1028">
        <v>5.4992000000000001E-3</v>
      </c>
      <c r="D1028">
        <v>0</v>
      </c>
      <c r="E1028">
        <v>0</v>
      </c>
      <c r="F1028">
        <v>0</v>
      </c>
      <c r="G1028">
        <v>517.24063000000001</v>
      </c>
      <c r="I1028">
        <f t="shared" ref="I1028:I1091" si="64">$H$2*$C1028/$B1028</f>
        <v>0.26340975432619773</v>
      </c>
      <c r="J1028">
        <f t="shared" ref="J1028:J1091" si="65">$H$2*$D1028</f>
        <v>0</v>
      </c>
      <c r="K1028">
        <f t="shared" ref="K1028:K1091" si="66">$H$2*$E1028</f>
        <v>0</v>
      </c>
      <c r="L1028">
        <f t="shared" ref="L1028:L1091" si="67">$H$2*$F1028</f>
        <v>0</v>
      </c>
    </row>
    <row r="1029" spans="1:12" x14ac:dyDescent="0.35">
      <c r="A1029" s="1" t="s">
        <v>37</v>
      </c>
      <c r="B1029">
        <v>0.41782827500000003</v>
      </c>
      <c r="C1029">
        <v>4.1392E-3</v>
      </c>
      <c r="D1029">
        <v>0</v>
      </c>
      <c r="E1029">
        <v>0</v>
      </c>
      <c r="F1029">
        <v>0</v>
      </c>
      <c r="G1029">
        <v>517.65845999999999</v>
      </c>
      <c r="I1029">
        <f t="shared" si="64"/>
        <v>0.19826640470947862</v>
      </c>
      <c r="J1029">
        <f t="shared" si="65"/>
        <v>0</v>
      </c>
      <c r="K1029">
        <f t="shared" si="66"/>
        <v>0</v>
      </c>
      <c r="L1029">
        <f t="shared" si="67"/>
        <v>0</v>
      </c>
    </row>
    <row r="1030" spans="1:12" x14ac:dyDescent="0.35">
      <c r="A1030" s="1" t="s">
        <v>38</v>
      </c>
      <c r="B1030">
        <v>0.41782808399999999</v>
      </c>
      <c r="C1030">
        <v>3.2192000000000002E-3</v>
      </c>
      <c r="D1030">
        <v>0</v>
      </c>
      <c r="E1030">
        <v>0</v>
      </c>
      <c r="F1030">
        <v>0</v>
      </c>
      <c r="G1030">
        <v>518.07628999999997</v>
      </c>
      <c r="I1030">
        <f t="shared" si="64"/>
        <v>0.15419875865034546</v>
      </c>
      <c r="J1030">
        <f t="shared" si="65"/>
        <v>0</v>
      </c>
      <c r="K1030">
        <f t="shared" si="66"/>
        <v>0</v>
      </c>
      <c r="L1030">
        <f t="shared" si="67"/>
        <v>0</v>
      </c>
    </row>
    <row r="1031" spans="1:12" x14ac:dyDescent="0.35">
      <c r="A1031" s="1" t="s">
        <v>39</v>
      </c>
      <c r="B1031">
        <v>0.41782794400000001</v>
      </c>
      <c r="C1031">
        <v>2.3392E-3</v>
      </c>
      <c r="D1031">
        <v>0</v>
      </c>
      <c r="E1031">
        <v>0</v>
      </c>
      <c r="F1031">
        <v>0</v>
      </c>
      <c r="G1031">
        <v>518.49411999999995</v>
      </c>
      <c r="I1031">
        <f t="shared" si="64"/>
        <v>0.11204704805350077</v>
      </c>
      <c r="J1031">
        <f t="shared" si="65"/>
        <v>0</v>
      </c>
      <c r="K1031">
        <f t="shared" si="66"/>
        <v>0</v>
      </c>
      <c r="L1031">
        <f t="shared" si="67"/>
        <v>0</v>
      </c>
    </row>
    <row r="1032" spans="1:12" x14ac:dyDescent="0.35">
      <c r="A1032" s="1" t="s">
        <v>79</v>
      </c>
      <c r="B1032">
        <v>0.21199999999999999</v>
      </c>
      <c r="C1032">
        <v>0</v>
      </c>
      <c r="D1032">
        <v>-2.53358734</v>
      </c>
      <c r="E1032">
        <v>0</v>
      </c>
      <c r="F1032">
        <v>0</v>
      </c>
      <c r="G1032">
        <v>518.75311999999997</v>
      </c>
      <c r="I1032">
        <f t="shared" si="64"/>
        <v>0</v>
      </c>
      <c r="J1032">
        <f t="shared" si="65"/>
        <v>-50.706825936458621</v>
      </c>
      <c r="K1032">
        <f t="shared" si="66"/>
        <v>0</v>
      </c>
      <c r="L1032">
        <f t="shared" si="67"/>
        <v>0</v>
      </c>
    </row>
    <row r="1033" spans="1:12" x14ac:dyDescent="0.35">
      <c r="A1033" s="1" t="s">
        <v>80</v>
      </c>
      <c r="B1033">
        <v>0.16600000000000001</v>
      </c>
      <c r="C1033">
        <v>0</v>
      </c>
      <c r="D1033">
        <v>0</v>
      </c>
      <c r="E1033">
        <v>-202.23429300000001</v>
      </c>
      <c r="F1033">
        <v>0</v>
      </c>
      <c r="G1033">
        <v>518.99411999999995</v>
      </c>
      <c r="I1033">
        <f t="shared" si="64"/>
        <v>0</v>
      </c>
      <c r="J1033">
        <f t="shared" si="65"/>
        <v>0</v>
      </c>
      <c r="K1033">
        <f t="shared" si="66"/>
        <v>-4047.4859230760812</v>
      </c>
      <c r="L1033">
        <f t="shared" si="67"/>
        <v>0</v>
      </c>
    </row>
    <row r="1034" spans="1:12" x14ac:dyDescent="0.35">
      <c r="A1034" s="1" t="s">
        <v>81</v>
      </c>
      <c r="B1034">
        <v>0.09</v>
      </c>
      <c r="C1034">
        <v>0</v>
      </c>
      <c r="D1034">
        <v>0</v>
      </c>
      <c r="E1034">
        <v>0</v>
      </c>
      <c r="F1034">
        <v>-13632</v>
      </c>
      <c r="G1034">
        <v>519.53497000000004</v>
      </c>
      <c r="I1034">
        <f t="shared" si="64"/>
        <v>0</v>
      </c>
      <c r="J1034">
        <f t="shared" si="65"/>
        <v>0</v>
      </c>
      <c r="K1034">
        <f t="shared" si="66"/>
        <v>0</v>
      </c>
      <c r="L1034">
        <f t="shared" si="67"/>
        <v>-272828.74375501258</v>
      </c>
    </row>
    <row r="1035" spans="1:12" x14ac:dyDescent="0.35">
      <c r="A1035" s="1" t="s">
        <v>82</v>
      </c>
      <c r="B1035">
        <v>0.21199999999999999</v>
      </c>
      <c r="C1035">
        <v>0</v>
      </c>
      <c r="D1035">
        <v>2.47240752</v>
      </c>
      <c r="E1035">
        <v>0</v>
      </c>
      <c r="F1035">
        <v>0</v>
      </c>
      <c r="G1035">
        <v>519.80696999999998</v>
      </c>
      <c r="I1035">
        <f t="shared" si="64"/>
        <v>0</v>
      </c>
      <c r="J1035">
        <f t="shared" si="65"/>
        <v>49.48238246273813</v>
      </c>
      <c r="K1035">
        <f t="shared" si="66"/>
        <v>0</v>
      </c>
      <c r="L1035">
        <f t="shared" si="67"/>
        <v>0</v>
      </c>
    </row>
    <row r="1036" spans="1:12" x14ac:dyDescent="0.35">
      <c r="A1036" s="1" t="s">
        <v>83</v>
      </c>
      <c r="B1036">
        <v>0.1</v>
      </c>
      <c r="C1036">
        <v>0</v>
      </c>
      <c r="D1036">
        <v>0</v>
      </c>
      <c r="E1036">
        <v>172.62799999999999</v>
      </c>
      <c r="F1036">
        <v>0</v>
      </c>
      <c r="G1036">
        <v>519.98197000000005</v>
      </c>
      <c r="I1036">
        <f t="shared" si="64"/>
        <v>0</v>
      </c>
      <c r="J1036">
        <f t="shared" si="65"/>
        <v>0</v>
      </c>
      <c r="K1036">
        <f t="shared" si="66"/>
        <v>3454.9501450220296</v>
      </c>
      <c r="L1036">
        <f t="shared" si="67"/>
        <v>0</v>
      </c>
    </row>
    <row r="1037" spans="1:12" x14ac:dyDescent="0.35">
      <c r="A1037" s="1" t="s">
        <v>83</v>
      </c>
      <c r="B1037">
        <v>0.1</v>
      </c>
      <c r="C1037">
        <v>0</v>
      </c>
      <c r="D1037">
        <v>0</v>
      </c>
      <c r="E1037">
        <v>172.62799999999999</v>
      </c>
      <c r="F1037">
        <v>0</v>
      </c>
      <c r="G1037">
        <f>0.1+519.98197</f>
        <v>520.08197000000007</v>
      </c>
      <c r="I1037">
        <f t="shared" si="64"/>
        <v>0</v>
      </c>
      <c r="J1037">
        <f t="shared" si="65"/>
        <v>0</v>
      </c>
      <c r="K1037">
        <f t="shared" si="66"/>
        <v>3454.9501450220296</v>
      </c>
      <c r="L1037">
        <f t="shared" si="67"/>
        <v>0</v>
      </c>
    </row>
    <row r="1038" spans="1:12" x14ac:dyDescent="0.35">
      <c r="A1038" s="1" t="s">
        <v>84</v>
      </c>
      <c r="B1038">
        <v>0.21199999999999999</v>
      </c>
      <c r="C1038">
        <v>0</v>
      </c>
      <c r="D1038">
        <v>2.47240752</v>
      </c>
      <c r="E1038">
        <v>0</v>
      </c>
      <c r="F1038">
        <v>0</v>
      </c>
      <c r="G1038">
        <v>520.36896999999999</v>
      </c>
      <c r="I1038">
        <f t="shared" si="64"/>
        <v>0</v>
      </c>
      <c r="J1038">
        <f t="shared" si="65"/>
        <v>49.48238246273813</v>
      </c>
      <c r="K1038">
        <f t="shared" si="66"/>
        <v>0</v>
      </c>
      <c r="L1038">
        <f t="shared" si="67"/>
        <v>0</v>
      </c>
    </row>
    <row r="1039" spans="1:12" x14ac:dyDescent="0.35">
      <c r="A1039" s="1" t="s">
        <v>85</v>
      </c>
      <c r="B1039">
        <v>0.16600000000000001</v>
      </c>
      <c r="C1039">
        <v>0</v>
      </c>
      <c r="D1039">
        <v>0</v>
      </c>
      <c r="E1039">
        <v>-132.861086</v>
      </c>
      <c r="F1039">
        <v>0</v>
      </c>
      <c r="G1039">
        <v>521.13583000000006</v>
      </c>
      <c r="I1039">
        <f t="shared" si="64"/>
        <v>0</v>
      </c>
      <c r="J1039">
        <f t="shared" si="65"/>
        <v>0</v>
      </c>
      <c r="K1039">
        <f t="shared" si="66"/>
        <v>-2659.0612666744933</v>
      </c>
      <c r="L1039">
        <f t="shared" si="67"/>
        <v>0</v>
      </c>
    </row>
    <row r="1040" spans="1:12" x14ac:dyDescent="0.35">
      <c r="A1040" s="1" t="s">
        <v>86</v>
      </c>
      <c r="B1040">
        <v>0.21199999999999999</v>
      </c>
      <c r="C1040">
        <v>0</v>
      </c>
      <c r="D1040">
        <v>-2.3709669899999999</v>
      </c>
      <c r="E1040">
        <v>0</v>
      </c>
      <c r="F1040">
        <v>0</v>
      </c>
      <c r="G1040">
        <v>521.42282999999998</v>
      </c>
      <c r="I1040">
        <f t="shared" si="64"/>
        <v>0</v>
      </c>
      <c r="J1040">
        <f t="shared" si="65"/>
        <v>-47.452167353748784</v>
      </c>
      <c r="K1040">
        <f t="shared" si="66"/>
        <v>0</v>
      </c>
      <c r="L1040">
        <f t="shared" si="67"/>
        <v>0</v>
      </c>
    </row>
    <row r="1041" spans="1:12" x14ac:dyDescent="0.35">
      <c r="A1041" s="1" t="s">
        <v>48</v>
      </c>
      <c r="B1041">
        <v>0.41782794400000001</v>
      </c>
      <c r="C1041">
        <v>2.3392E-3</v>
      </c>
      <c r="D1041">
        <v>0</v>
      </c>
      <c r="E1041">
        <v>0</v>
      </c>
      <c r="F1041">
        <v>0</v>
      </c>
      <c r="G1041">
        <v>521.88765000000001</v>
      </c>
      <c r="I1041">
        <f t="shared" si="64"/>
        <v>0.11204704805350077</v>
      </c>
      <c r="J1041">
        <f t="shared" si="65"/>
        <v>0</v>
      </c>
      <c r="K1041">
        <f t="shared" si="66"/>
        <v>0</v>
      </c>
      <c r="L1041">
        <f t="shared" si="67"/>
        <v>0</v>
      </c>
    </row>
    <row r="1042" spans="1:12" x14ac:dyDescent="0.35">
      <c r="A1042" s="1" t="s">
        <v>49</v>
      </c>
      <c r="B1042">
        <v>0.41782808399999999</v>
      </c>
      <c r="C1042">
        <v>3.2192000000000002E-3</v>
      </c>
      <c r="D1042">
        <v>0</v>
      </c>
      <c r="E1042">
        <v>0</v>
      </c>
      <c r="F1042">
        <v>0</v>
      </c>
      <c r="G1042">
        <v>522.30547999999999</v>
      </c>
      <c r="I1042">
        <f t="shared" si="64"/>
        <v>0.15419875865034546</v>
      </c>
      <c r="J1042">
        <f t="shared" si="65"/>
        <v>0</v>
      </c>
      <c r="K1042">
        <f t="shared" si="66"/>
        <v>0</v>
      </c>
      <c r="L1042">
        <f t="shared" si="67"/>
        <v>0</v>
      </c>
    </row>
    <row r="1043" spans="1:12" x14ac:dyDescent="0.35">
      <c r="A1043" s="1" t="s">
        <v>50</v>
      </c>
      <c r="B1043">
        <v>0.41782827500000003</v>
      </c>
      <c r="C1043">
        <v>4.1392E-3</v>
      </c>
      <c r="D1043">
        <v>0</v>
      </c>
      <c r="E1043">
        <v>0</v>
      </c>
      <c r="F1043">
        <v>0</v>
      </c>
      <c r="G1043">
        <v>522.72330999999997</v>
      </c>
      <c r="I1043">
        <f t="shared" si="64"/>
        <v>0.19826640470947862</v>
      </c>
      <c r="J1043">
        <f t="shared" si="65"/>
        <v>0</v>
      </c>
      <c r="K1043">
        <f t="shared" si="66"/>
        <v>0</v>
      </c>
      <c r="L1043">
        <f t="shared" si="67"/>
        <v>0</v>
      </c>
    </row>
    <row r="1044" spans="1:12" x14ac:dyDescent="0.35">
      <c r="A1044" s="1" t="s">
        <v>51</v>
      </c>
      <c r="B1044">
        <v>0.41782864199999997</v>
      </c>
      <c r="C1044">
        <v>5.4992000000000001E-3</v>
      </c>
      <c r="D1044">
        <v>0</v>
      </c>
      <c r="E1044">
        <v>0</v>
      </c>
      <c r="F1044">
        <v>0</v>
      </c>
      <c r="G1044">
        <v>523.14113999999995</v>
      </c>
      <c r="I1044">
        <f t="shared" si="64"/>
        <v>0.26340975432619773</v>
      </c>
      <c r="J1044">
        <f t="shared" si="65"/>
        <v>0</v>
      </c>
      <c r="K1044">
        <f t="shared" si="66"/>
        <v>0</v>
      </c>
      <c r="L1044">
        <f t="shared" si="67"/>
        <v>0</v>
      </c>
    </row>
    <row r="1045" spans="1:12" x14ac:dyDescent="0.35">
      <c r="A1045" s="1" t="s">
        <v>52</v>
      </c>
      <c r="B1045">
        <v>0.41783028900000002</v>
      </c>
      <c r="C1045">
        <v>9.4690999999999994E-3</v>
      </c>
      <c r="D1045">
        <v>0</v>
      </c>
      <c r="E1045">
        <v>0</v>
      </c>
      <c r="F1045">
        <v>0</v>
      </c>
      <c r="G1045">
        <v>523.55897000000004</v>
      </c>
      <c r="I1045">
        <f t="shared" si="64"/>
        <v>0.45356478630764774</v>
      </c>
      <c r="J1045">
        <f t="shared" si="65"/>
        <v>0</v>
      </c>
      <c r="K1045">
        <f t="shared" si="66"/>
        <v>0</v>
      </c>
      <c r="L1045">
        <f t="shared" si="67"/>
        <v>0</v>
      </c>
    </row>
    <row r="1046" spans="1:12" x14ac:dyDescent="0.35">
      <c r="A1046" s="1" t="s">
        <v>87</v>
      </c>
      <c r="B1046">
        <v>0.16200000000000001</v>
      </c>
      <c r="C1046">
        <v>0</v>
      </c>
      <c r="D1046">
        <v>-2.8698264299999998</v>
      </c>
      <c r="E1046">
        <v>0</v>
      </c>
      <c r="F1046">
        <v>0</v>
      </c>
      <c r="G1046">
        <v>523.76796999999999</v>
      </c>
      <c r="I1046">
        <f t="shared" si="64"/>
        <v>0</v>
      </c>
      <c r="J1046">
        <f t="shared" si="65"/>
        <v>-57.436263181619168</v>
      </c>
      <c r="K1046">
        <f t="shared" si="66"/>
        <v>0</v>
      </c>
      <c r="L1046">
        <f t="shared" si="67"/>
        <v>0</v>
      </c>
    </row>
    <row r="1047" spans="1:12" x14ac:dyDescent="0.35">
      <c r="A1047" s="1" t="s">
        <v>54</v>
      </c>
      <c r="B1047">
        <v>0.1</v>
      </c>
      <c r="C1047">
        <v>0</v>
      </c>
      <c r="D1047">
        <v>0</v>
      </c>
      <c r="E1047">
        <v>0</v>
      </c>
      <c r="F1047">
        <v>0</v>
      </c>
      <c r="G1047">
        <v>524.09797000000003</v>
      </c>
      <c r="I1047">
        <f t="shared" si="64"/>
        <v>0</v>
      </c>
      <c r="J1047">
        <f t="shared" si="65"/>
        <v>0</v>
      </c>
      <c r="K1047">
        <f t="shared" si="66"/>
        <v>0</v>
      </c>
      <c r="L1047">
        <f t="shared" si="67"/>
        <v>0</v>
      </c>
    </row>
    <row r="1048" spans="1:12" x14ac:dyDescent="0.35">
      <c r="A1048" s="1" t="s">
        <v>88</v>
      </c>
      <c r="B1048">
        <v>0.29499999999999998</v>
      </c>
      <c r="C1048">
        <v>0</v>
      </c>
      <c r="D1048">
        <v>2.43875777</v>
      </c>
      <c r="E1048">
        <v>0</v>
      </c>
      <c r="F1048">
        <v>0</v>
      </c>
      <c r="G1048">
        <v>524.50297</v>
      </c>
      <c r="I1048">
        <f t="shared" si="64"/>
        <v>0</v>
      </c>
      <c r="J1048">
        <f t="shared" si="65"/>
        <v>48.808921560436907</v>
      </c>
      <c r="K1048">
        <f t="shared" si="66"/>
        <v>0</v>
      </c>
      <c r="L1048">
        <f t="shared" si="67"/>
        <v>0</v>
      </c>
    </row>
    <row r="1049" spans="1:12" x14ac:dyDescent="0.35">
      <c r="A1049" s="1" t="s">
        <v>56</v>
      </c>
      <c r="B1049">
        <v>0.29499999999999998</v>
      </c>
      <c r="C1049">
        <v>0</v>
      </c>
      <c r="D1049">
        <v>2.43875777</v>
      </c>
      <c r="E1049">
        <v>0</v>
      </c>
      <c r="F1049">
        <v>0</v>
      </c>
      <c r="G1049">
        <v>530.37612000000001</v>
      </c>
      <c r="I1049">
        <f t="shared" si="64"/>
        <v>0</v>
      </c>
      <c r="J1049">
        <f t="shared" si="65"/>
        <v>48.808921560436907</v>
      </c>
      <c r="K1049">
        <f t="shared" si="66"/>
        <v>0</v>
      </c>
      <c r="L1049">
        <f t="shared" si="67"/>
        <v>0</v>
      </c>
    </row>
    <row r="1050" spans="1:12" x14ac:dyDescent="0.35">
      <c r="A1050" s="1" t="s">
        <v>2</v>
      </c>
      <c r="B1050">
        <v>0.1</v>
      </c>
      <c r="C1050">
        <v>0</v>
      </c>
      <c r="D1050">
        <v>0</v>
      </c>
      <c r="E1050">
        <v>0</v>
      </c>
      <c r="F1050">
        <v>0</v>
      </c>
      <c r="G1050">
        <v>530.58612000000005</v>
      </c>
      <c r="I1050">
        <f t="shared" si="64"/>
        <v>0</v>
      </c>
      <c r="J1050">
        <f t="shared" si="65"/>
        <v>0</v>
      </c>
      <c r="K1050">
        <f t="shared" si="66"/>
        <v>0</v>
      </c>
      <c r="L1050">
        <f t="shared" si="67"/>
        <v>0</v>
      </c>
    </row>
    <row r="1051" spans="1:12" x14ac:dyDescent="0.35">
      <c r="A1051" s="1" t="s">
        <v>57</v>
      </c>
      <c r="B1051">
        <v>0.16200000000000001</v>
      </c>
      <c r="C1051">
        <v>0</v>
      </c>
      <c r="D1051">
        <v>-2.8698264299999998</v>
      </c>
      <c r="E1051">
        <v>0</v>
      </c>
      <c r="F1051">
        <v>0</v>
      </c>
      <c r="G1051">
        <v>530.97811999999999</v>
      </c>
      <c r="I1051">
        <f t="shared" si="64"/>
        <v>0</v>
      </c>
      <c r="J1051">
        <f t="shared" si="65"/>
        <v>-57.436263181619168</v>
      </c>
      <c r="K1051">
        <f t="shared" si="66"/>
        <v>0</v>
      </c>
      <c r="L1051">
        <f t="shared" si="67"/>
        <v>0</v>
      </c>
    </row>
    <row r="1052" spans="1:12" x14ac:dyDescent="0.35">
      <c r="A1052" s="1" t="s">
        <v>58</v>
      </c>
      <c r="B1052">
        <v>0.41783028900000002</v>
      </c>
      <c r="C1052">
        <v>9.4690999999999994E-3</v>
      </c>
      <c r="D1052">
        <v>0</v>
      </c>
      <c r="E1052">
        <v>0</v>
      </c>
      <c r="F1052">
        <v>0</v>
      </c>
      <c r="G1052">
        <v>531.44295</v>
      </c>
      <c r="I1052">
        <f t="shared" si="64"/>
        <v>0.45356478630764774</v>
      </c>
      <c r="J1052">
        <f t="shared" si="65"/>
        <v>0</v>
      </c>
      <c r="K1052">
        <f t="shared" si="66"/>
        <v>0</v>
      </c>
      <c r="L1052">
        <f t="shared" si="67"/>
        <v>0</v>
      </c>
    </row>
    <row r="1053" spans="1:12" x14ac:dyDescent="0.35">
      <c r="A1053" s="1" t="s">
        <v>59</v>
      </c>
      <c r="B1053">
        <v>0.41782864199999997</v>
      </c>
      <c r="C1053">
        <v>5.4992000000000001E-3</v>
      </c>
      <c r="D1053">
        <v>0</v>
      </c>
      <c r="E1053">
        <v>0</v>
      </c>
      <c r="F1053">
        <v>0</v>
      </c>
      <c r="G1053">
        <v>531.86077999999998</v>
      </c>
      <c r="I1053">
        <f t="shared" si="64"/>
        <v>0.26340975432619773</v>
      </c>
      <c r="J1053">
        <f t="shared" si="65"/>
        <v>0</v>
      </c>
      <c r="K1053">
        <f t="shared" si="66"/>
        <v>0</v>
      </c>
      <c r="L1053">
        <f t="shared" si="67"/>
        <v>0</v>
      </c>
    </row>
    <row r="1054" spans="1:12" x14ac:dyDescent="0.35">
      <c r="A1054" s="1" t="s">
        <v>60</v>
      </c>
      <c r="B1054">
        <v>0.41782827500000003</v>
      </c>
      <c r="C1054">
        <v>4.1392E-3</v>
      </c>
      <c r="D1054">
        <v>0</v>
      </c>
      <c r="E1054">
        <v>0</v>
      </c>
      <c r="F1054">
        <v>0</v>
      </c>
      <c r="G1054">
        <v>532.27860999999996</v>
      </c>
      <c r="I1054">
        <f t="shared" si="64"/>
        <v>0.19826640470947862</v>
      </c>
      <c r="J1054">
        <f t="shared" si="65"/>
        <v>0</v>
      </c>
      <c r="K1054">
        <f t="shared" si="66"/>
        <v>0</v>
      </c>
      <c r="L1054">
        <f t="shared" si="67"/>
        <v>0</v>
      </c>
    </row>
    <row r="1055" spans="1:12" x14ac:dyDescent="0.35">
      <c r="A1055" s="1" t="s">
        <v>61</v>
      </c>
      <c r="B1055">
        <v>0.41782808399999999</v>
      </c>
      <c r="C1055">
        <v>3.2192000000000002E-3</v>
      </c>
      <c r="D1055">
        <v>0</v>
      </c>
      <c r="E1055">
        <v>0</v>
      </c>
      <c r="F1055">
        <v>0</v>
      </c>
      <c r="G1055">
        <v>532.69644000000005</v>
      </c>
      <c r="I1055">
        <f t="shared" si="64"/>
        <v>0.15419875865034546</v>
      </c>
      <c r="J1055">
        <f t="shared" si="65"/>
        <v>0</v>
      </c>
      <c r="K1055">
        <f t="shared" si="66"/>
        <v>0</v>
      </c>
      <c r="L1055">
        <f t="shared" si="67"/>
        <v>0</v>
      </c>
    </row>
    <row r="1056" spans="1:12" x14ac:dyDescent="0.35">
      <c r="A1056" s="1" t="s">
        <v>62</v>
      </c>
      <c r="B1056">
        <v>0.41782794400000001</v>
      </c>
      <c r="C1056">
        <v>2.3392E-3</v>
      </c>
      <c r="D1056">
        <v>0</v>
      </c>
      <c r="E1056">
        <v>0</v>
      </c>
      <c r="F1056">
        <v>0</v>
      </c>
      <c r="G1056">
        <v>533.11425999999994</v>
      </c>
      <c r="I1056">
        <f t="shared" si="64"/>
        <v>0.11204704805350077</v>
      </c>
      <c r="J1056">
        <f t="shared" si="65"/>
        <v>0</v>
      </c>
      <c r="K1056">
        <f t="shared" si="66"/>
        <v>0</v>
      </c>
      <c r="L1056">
        <f t="shared" si="67"/>
        <v>0</v>
      </c>
    </row>
    <row r="1057" spans="1:12" x14ac:dyDescent="0.35">
      <c r="A1057" s="1" t="s">
        <v>63</v>
      </c>
      <c r="B1057">
        <v>0.21199999999999999</v>
      </c>
      <c r="C1057">
        <v>0</v>
      </c>
      <c r="D1057">
        <v>-2.3709669899999999</v>
      </c>
      <c r="E1057">
        <v>0</v>
      </c>
      <c r="F1057">
        <v>0</v>
      </c>
      <c r="G1057">
        <v>533.37325999999996</v>
      </c>
      <c r="I1057">
        <f t="shared" si="64"/>
        <v>0</v>
      </c>
      <c r="J1057">
        <f t="shared" si="65"/>
        <v>-47.452167353748784</v>
      </c>
      <c r="K1057">
        <f t="shared" si="66"/>
        <v>0</v>
      </c>
      <c r="L1057">
        <f t="shared" si="67"/>
        <v>0</v>
      </c>
    </row>
    <row r="1058" spans="1:12" x14ac:dyDescent="0.35">
      <c r="A1058" s="1" t="s">
        <v>64</v>
      </c>
      <c r="B1058">
        <v>0.16600000000000001</v>
      </c>
      <c r="C1058">
        <v>0</v>
      </c>
      <c r="D1058">
        <v>0</v>
      </c>
      <c r="E1058">
        <v>-132.861086</v>
      </c>
      <c r="F1058">
        <v>0</v>
      </c>
      <c r="G1058">
        <v>533.61425999999994</v>
      </c>
      <c r="I1058">
        <f t="shared" si="64"/>
        <v>0</v>
      </c>
      <c r="J1058">
        <f t="shared" si="65"/>
        <v>0</v>
      </c>
      <c r="K1058">
        <f t="shared" si="66"/>
        <v>-2659.0612666744933</v>
      </c>
      <c r="L1058">
        <f t="shared" si="67"/>
        <v>0</v>
      </c>
    </row>
    <row r="1059" spans="1:12" x14ac:dyDescent="0.35">
      <c r="A1059" s="1" t="s">
        <v>65</v>
      </c>
      <c r="B1059">
        <v>0.21199999999999999</v>
      </c>
      <c r="C1059">
        <v>0</v>
      </c>
      <c r="D1059">
        <v>2.47240752</v>
      </c>
      <c r="E1059">
        <v>0</v>
      </c>
      <c r="F1059">
        <v>0</v>
      </c>
      <c r="G1059">
        <v>534.42711999999995</v>
      </c>
      <c r="I1059">
        <f t="shared" si="64"/>
        <v>0</v>
      </c>
      <c r="J1059">
        <f t="shared" si="65"/>
        <v>49.48238246273813</v>
      </c>
      <c r="K1059">
        <f t="shared" si="66"/>
        <v>0</v>
      </c>
      <c r="L1059">
        <f t="shared" si="67"/>
        <v>0</v>
      </c>
    </row>
    <row r="1060" spans="1:12" x14ac:dyDescent="0.35">
      <c r="A1060" s="1" t="s">
        <v>66</v>
      </c>
      <c r="B1060">
        <v>0.1</v>
      </c>
      <c r="C1060">
        <v>0</v>
      </c>
      <c r="D1060">
        <v>0</v>
      </c>
      <c r="E1060">
        <v>172.62799999999999</v>
      </c>
      <c r="F1060">
        <v>0</v>
      </c>
      <c r="G1060">
        <v>534.60212000000001</v>
      </c>
      <c r="I1060">
        <f t="shared" si="64"/>
        <v>0</v>
      </c>
      <c r="J1060">
        <f t="shared" si="65"/>
        <v>0</v>
      </c>
      <c r="K1060">
        <f t="shared" si="66"/>
        <v>3454.9501450220296</v>
      </c>
      <c r="L1060">
        <f t="shared" si="67"/>
        <v>0</v>
      </c>
    </row>
    <row r="1061" spans="1:12" x14ac:dyDescent="0.35">
      <c r="A1061" s="1" t="s">
        <v>66</v>
      </c>
      <c r="B1061">
        <v>0.1</v>
      </c>
      <c r="C1061">
        <v>0</v>
      </c>
      <c r="D1061">
        <v>0</v>
      </c>
      <c r="E1061">
        <v>172.62799999999999</v>
      </c>
      <c r="F1061">
        <v>0</v>
      </c>
      <c r="G1061">
        <f>534.60212+0.1</f>
        <v>534.70212000000004</v>
      </c>
      <c r="I1061">
        <f t="shared" si="64"/>
        <v>0</v>
      </c>
      <c r="J1061">
        <f t="shared" si="65"/>
        <v>0</v>
      </c>
      <c r="K1061">
        <f t="shared" si="66"/>
        <v>3454.9501450220296</v>
      </c>
      <c r="L1061">
        <f t="shared" si="67"/>
        <v>0</v>
      </c>
    </row>
    <row r="1062" spans="1:12" x14ac:dyDescent="0.35">
      <c r="A1062" s="1" t="s">
        <v>67</v>
      </c>
      <c r="B1062">
        <v>0.21199999999999999</v>
      </c>
      <c r="C1062">
        <v>0</v>
      </c>
      <c r="D1062">
        <v>2.47240752</v>
      </c>
      <c r="E1062">
        <v>0</v>
      </c>
      <c r="F1062">
        <v>0</v>
      </c>
      <c r="G1062">
        <v>534.98911999999996</v>
      </c>
      <c r="I1062">
        <f t="shared" si="64"/>
        <v>0</v>
      </c>
      <c r="J1062">
        <f t="shared" si="65"/>
        <v>49.48238246273813</v>
      </c>
      <c r="K1062">
        <f t="shared" si="66"/>
        <v>0</v>
      </c>
      <c r="L1062">
        <f t="shared" si="67"/>
        <v>0</v>
      </c>
    </row>
    <row r="1063" spans="1:12" x14ac:dyDescent="0.35">
      <c r="A1063" s="1" t="s">
        <v>68</v>
      </c>
      <c r="B1063">
        <v>0.09</v>
      </c>
      <c r="C1063">
        <v>0</v>
      </c>
      <c r="D1063">
        <v>0</v>
      </c>
      <c r="E1063">
        <v>0</v>
      </c>
      <c r="F1063">
        <v>-13632</v>
      </c>
      <c r="G1063">
        <v>535.13912000000005</v>
      </c>
      <c r="I1063">
        <f t="shared" si="64"/>
        <v>0</v>
      </c>
      <c r="J1063">
        <f t="shared" si="65"/>
        <v>0</v>
      </c>
      <c r="K1063">
        <f t="shared" si="66"/>
        <v>0</v>
      </c>
      <c r="L1063">
        <f t="shared" si="67"/>
        <v>-272828.74375501258</v>
      </c>
    </row>
    <row r="1064" spans="1:12" x14ac:dyDescent="0.35">
      <c r="A1064" s="1" t="s">
        <v>69</v>
      </c>
      <c r="B1064">
        <v>0.16600000000000001</v>
      </c>
      <c r="C1064">
        <v>0</v>
      </c>
      <c r="D1064">
        <v>0</v>
      </c>
      <c r="E1064">
        <v>-202.23429300000001</v>
      </c>
      <c r="F1064">
        <v>0</v>
      </c>
      <c r="G1064">
        <v>535.75597000000005</v>
      </c>
      <c r="I1064">
        <f t="shared" si="64"/>
        <v>0</v>
      </c>
      <c r="J1064">
        <f t="shared" si="65"/>
        <v>0</v>
      </c>
      <c r="K1064">
        <f t="shared" si="66"/>
        <v>-4047.4859230760812</v>
      </c>
      <c r="L1064">
        <f t="shared" si="67"/>
        <v>0</v>
      </c>
    </row>
    <row r="1065" spans="1:12" x14ac:dyDescent="0.35">
      <c r="A1065" s="1" t="s">
        <v>70</v>
      </c>
      <c r="B1065">
        <v>0.21199999999999999</v>
      </c>
      <c r="C1065">
        <v>0</v>
      </c>
      <c r="D1065">
        <v>-2.53358734</v>
      </c>
      <c r="E1065">
        <v>0</v>
      </c>
      <c r="F1065">
        <v>0</v>
      </c>
      <c r="G1065">
        <v>536.04296999999997</v>
      </c>
      <c r="I1065">
        <f t="shared" si="64"/>
        <v>0</v>
      </c>
      <c r="J1065">
        <f t="shared" si="65"/>
        <v>-50.706825936458621</v>
      </c>
      <c r="K1065">
        <f t="shared" si="66"/>
        <v>0</v>
      </c>
      <c r="L1065">
        <f t="shared" si="67"/>
        <v>0</v>
      </c>
    </row>
    <row r="1066" spans="1:12" x14ac:dyDescent="0.35">
      <c r="A1066" s="1" t="s">
        <v>20</v>
      </c>
      <c r="B1066">
        <v>0.41782794400000001</v>
      </c>
      <c r="C1066">
        <v>2.3392E-3</v>
      </c>
      <c r="D1066">
        <v>0</v>
      </c>
      <c r="E1066">
        <v>0</v>
      </c>
      <c r="F1066">
        <v>0</v>
      </c>
      <c r="G1066">
        <v>536.50779999999997</v>
      </c>
      <c r="I1066">
        <f t="shared" si="64"/>
        <v>0.11204704805350077</v>
      </c>
      <c r="J1066">
        <f t="shared" si="65"/>
        <v>0</v>
      </c>
      <c r="K1066">
        <f t="shared" si="66"/>
        <v>0</v>
      </c>
      <c r="L1066">
        <f t="shared" si="67"/>
        <v>0</v>
      </c>
    </row>
    <row r="1067" spans="1:12" x14ac:dyDescent="0.35">
      <c r="A1067" s="1" t="s">
        <v>21</v>
      </c>
      <c r="B1067">
        <v>0.41782808399999999</v>
      </c>
      <c r="C1067">
        <v>3.2192000000000002E-3</v>
      </c>
      <c r="D1067">
        <v>0</v>
      </c>
      <c r="E1067">
        <v>0</v>
      </c>
      <c r="F1067">
        <v>0</v>
      </c>
      <c r="G1067">
        <v>536.92562999999996</v>
      </c>
      <c r="I1067">
        <f t="shared" si="64"/>
        <v>0.15419875865034546</v>
      </c>
      <c r="J1067">
        <f t="shared" si="65"/>
        <v>0</v>
      </c>
      <c r="K1067">
        <f t="shared" si="66"/>
        <v>0</v>
      </c>
      <c r="L1067">
        <f t="shared" si="67"/>
        <v>0</v>
      </c>
    </row>
    <row r="1068" spans="1:12" x14ac:dyDescent="0.35">
      <c r="A1068" s="1" t="s">
        <v>22</v>
      </c>
      <c r="B1068">
        <v>0.41782827500000003</v>
      </c>
      <c r="C1068">
        <v>4.1392E-3</v>
      </c>
      <c r="D1068">
        <v>0</v>
      </c>
      <c r="E1068">
        <v>0</v>
      </c>
      <c r="F1068">
        <v>0</v>
      </c>
      <c r="G1068">
        <v>537.34346000000005</v>
      </c>
      <c r="I1068">
        <f t="shared" si="64"/>
        <v>0.19826640470947862</v>
      </c>
      <c r="J1068">
        <f t="shared" si="65"/>
        <v>0</v>
      </c>
      <c r="K1068">
        <f t="shared" si="66"/>
        <v>0</v>
      </c>
      <c r="L1068">
        <f t="shared" si="67"/>
        <v>0</v>
      </c>
    </row>
    <row r="1069" spans="1:12" x14ac:dyDescent="0.35">
      <c r="A1069" s="1" t="s">
        <v>23</v>
      </c>
      <c r="B1069">
        <v>0.41782864199999997</v>
      </c>
      <c r="C1069">
        <v>5.4992000000000001E-3</v>
      </c>
      <c r="D1069">
        <v>0</v>
      </c>
      <c r="E1069">
        <v>0</v>
      </c>
      <c r="F1069">
        <v>0</v>
      </c>
      <c r="G1069">
        <v>537.76128000000006</v>
      </c>
      <c r="I1069">
        <f t="shared" si="64"/>
        <v>0.26340975432619773</v>
      </c>
      <c r="J1069">
        <f t="shared" si="65"/>
        <v>0</v>
      </c>
      <c r="K1069">
        <f t="shared" si="66"/>
        <v>0</v>
      </c>
      <c r="L1069">
        <f t="shared" si="67"/>
        <v>0</v>
      </c>
    </row>
    <row r="1070" spans="1:12" x14ac:dyDescent="0.35">
      <c r="A1070" s="1" t="s">
        <v>24</v>
      </c>
      <c r="B1070">
        <v>0.41782941899999998</v>
      </c>
      <c r="C1070">
        <v>7.6290999999999998E-3</v>
      </c>
      <c r="D1070">
        <v>0</v>
      </c>
      <c r="E1070">
        <v>0</v>
      </c>
      <c r="F1070">
        <v>0</v>
      </c>
      <c r="G1070">
        <v>538.17911000000004</v>
      </c>
      <c r="I1070">
        <f t="shared" si="64"/>
        <v>0.36543053893202671</v>
      </c>
      <c r="J1070">
        <f t="shared" si="65"/>
        <v>0</v>
      </c>
      <c r="K1070">
        <f t="shared" si="66"/>
        <v>0</v>
      </c>
      <c r="L1070">
        <f t="shared" si="67"/>
        <v>0</v>
      </c>
    </row>
    <row r="1071" spans="1:12" x14ac:dyDescent="0.35">
      <c r="A1071" s="1" t="s">
        <v>71</v>
      </c>
      <c r="B1071">
        <v>0.3745</v>
      </c>
      <c r="C1071">
        <v>0</v>
      </c>
      <c r="D1071">
        <v>4.5116622</v>
      </c>
      <c r="E1071">
        <v>0</v>
      </c>
      <c r="F1071">
        <v>0</v>
      </c>
      <c r="G1071">
        <v>538.70361000000003</v>
      </c>
      <c r="I1071">
        <f t="shared" si="64"/>
        <v>0</v>
      </c>
      <c r="J1071">
        <f t="shared" si="65"/>
        <v>90.29571084748946</v>
      </c>
      <c r="K1071">
        <f t="shared" si="66"/>
        <v>0</v>
      </c>
      <c r="L1071">
        <f t="shared" si="67"/>
        <v>0</v>
      </c>
    </row>
    <row r="1072" spans="1:12" x14ac:dyDescent="0.35">
      <c r="A1072" s="1" t="s">
        <v>72</v>
      </c>
      <c r="B1072">
        <v>1.0280365199999999</v>
      </c>
      <c r="C1072">
        <v>2.4767999999999998E-2</v>
      </c>
      <c r="D1072">
        <v>-1.929</v>
      </c>
      <c r="E1072">
        <v>0</v>
      </c>
      <c r="F1072">
        <v>0</v>
      </c>
      <c r="G1072">
        <v>539.82164999999998</v>
      </c>
      <c r="I1072">
        <f t="shared" si="64"/>
        <v>0.48218416286837618</v>
      </c>
      <c r="J1072">
        <f t="shared" si="65"/>
        <v>-38.606708238220314</v>
      </c>
      <c r="K1072">
        <f t="shared" si="66"/>
        <v>0</v>
      </c>
      <c r="L1072">
        <f t="shared" si="67"/>
        <v>0</v>
      </c>
    </row>
    <row r="1073" spans="1:12" x14ac:dyDescent="0.35">
      <c r="A1073" s="1" t="s">
        <v>73</v>
      </c>
      <c r="B1073">
        <v>0.4975</v>
      </c>
      <c r="C1073">
        <v>0</v>
      </c>
      <c r="D1073">
        <v>4.61414189</v>
      </c>
      <c r="E1073">
        <v>0</v>
      </c>
      <c r="F1073">
        <v>0</v>
      </c>
      <c r="G1073">
        <v>540.40914999999995</v>
      </c>
      <c r="I1073">
        <f t="shared" si="64"/>
        <v>0</v>
      </c>
      <c r="J1073">
        <f t="shared" si="65"/>
        <v>92.346723544313335</v>
      </c>
      <c r="K1073">
        <f t="shared" si="66"/>
        <v>0</v>
      </c>
      <c r="L1073">
        <f t="shared" si="67"/>
        <v>0</v>
      </c>
    </row>
    <row r="1074" spans="1:12" x14ac:dyDescent="0.35">
      <c r="A1074" s="1" t="s">
        <v>28</v>
      </c>
      <c r="B1074">
        <v>0.1</v>
      </c>
      <c r="C1074">
        <v>0</v>
      </c>
      <c r="D1074">
        <v>0</v>
      </c>
      <c r="E1074">
        <v>0</v>
      </c>
      <c r="F1074">
        <v>0</v>
      </c>
      <c r="G1074">
        <v>540.58022000000005</v>
      </c>
      <c r="I1074">
        <f t="shared" si="64"/>
        <v>0</v>
      </c>
      <c r="J1074">
        <f t="shared" si="65"/>
        <v>0</v>
      </c>
      <c r="K1074">
        <f t="shared" si="66"/>
        <v>0</v>
      </c>
      <c r="L1074">
        <f t="shared" si="67"/>
        <v>0</v>
      </c>
    </row>
    <row r="1075" spans="1:12" x14ac:dyDescent="0.35">
      <c r="A1075" s="1" t="s">
        <v>74</v>
      </c>
      <c r="B1075">
        <v>0.40000102700000001</v>
      </c>
      <c r="C1075">
        <v>5.2300999999999997E-3</v>
      </c>
      <c r="D1075">
        <v>-1.5815999999999999</v>
      </c>
      <c r="E1075">
        <v>0</v>
      </c>
      <c r="F1075">
        <v>0</v>
      </c>
      <c r="G1075">
        <v>541.07321999999999</v>
      </c>
      <c r="I1075">
        <f t="shared" si="64"/>
        <v>0.26168536331815889</v>
      </c>
      <c r="J1075">
        <f t="shared" si="65"/>
        <v>-31.653898263125576</v>
      </c>
      <c r="K1075">
        <f t="shared" si="66"/>
        <v>0</v>
      </c>
      <c r="L1075">
        <f t="shared" si="67"/>
        <v>0</v>
      </c>
    </row>
    <row r="1076" spans="1:12" x14ac:dyDescent="0.35">
      <c r="A1076" s="1" t="s">
        <v>30</v>
      </c>
      <c r="B1076">
        <v>2.44294E-2</v>
      </c>
      <c r="C1076">
        <v>1.0499000000000001E-3</v>
      </c>
      <c r="D1076">
        <v>0</v>
      </c>
      <c r="E1076">
        <v>0</v>
      </c>
      <c r="F1076">
        <v>0</v>
      </c>
      <c r="G1076">
        <v>541.16814999999997</v>
      </c>
      <c r="I1076">
        <f t="shared" si="64"/>
        <v>0.8601331402616047</v>
      </c>
      <c r="J1076">
        <f t="shared" si="65"/>
        <v>0</v>
      </c>
      <c r="K1076">
        <f t="shared" si="66"/>
        <v>0</v>
      </c>
      <c r="L1076">
        <f t="shared" si="67"/>
        <v>0</v>
      </c>
    </row>
    <row r="1077" spans="1:12" x14ac:dyDescent="0.35">
      <c r="A1077" s="1" t="s">
        <v>30</v>
      </c>
      <c r="B1077">
        <v>2.44294E-2</v>
      </c>
      <c r="C1077">
        <v>1.0499000000000001E-3</v>
      </c>
      <c r="D1077">
        <v>0</v>
      </c>
      <c r="E1077">
        <v>0</v>
      </c>
      <c r="F1077">
        <v>0</v>
      </c>
      <c r="G1077">
        <f>541.16815+0.0244294</f>
        <v>541.1925794</v>
      </c>
      <c r="I1077">
        <f t="shared" si="64"/>
        <v>0.8601331402616047</v>
      </c>
      <c r="J1077">
        <f t="shared" si="65"/>
        <v>0</v>
      </c>
      <c r="K1077">
        <f t="shared" si="66"/>
        <v>0</v>
      </c>
      <c r="L1077">
        <f t="shared" si="67"/>
        <v>0</v>
      </c>
    </row>
    <row r="1078" spans="1:12" x14ac:dyDescent="0.35">
      <c r="A1078" s="1" t="s">
        <v>75</v>
      </c>
      <c r="B1078">
        <v>0.40000102700000001</v>
      </c>
      <c r="C1078">
        <v>5.2300999999999997E-3</v>
      </c>
      <c r="D1078">
        <v>-1.5815999999999999</v>
      </c>
      <c r="E1078">
        <v>0</v>
      </c>
      <c r="F1078">
        <v>0</v>
      </c>
      <c r="G1078">
        <v>541.66308000000004</v>
      </c>
      <c r="I1078">
        <f t="shared" si="64"/>
        <v>0.26168536331815889</v>
      </c>
      <c r="J1078">
        <f t="shared" si="65"/>
        <v>-31.653898263125576</v>
      </c>
      <c r="K1078">
        <f t="shared" si="66"/>
        <v>0</v>
      </c>
      <c r="L1078">
        <f t="shared" si="67"/>
        <v>0</v>
      </c>
    </row>
    <row r="1079" spans="1:12" x14ac:dyDescent="0.35">
      <c r="A1079" s="1" t="s">
        <v>76</v>
      </c>
      <c r="B1079">
        <v>0.4975</v>
      </c>
      <c r="C1079">
        <v>0</v>
      </c>
      <c r="D1079">
        <v>4.61414189</v>
      </c>
      <c r="E1079">
        <v>0</v>
      </c>
      <c r="F1079">
        <v>0</v>
      </c>
      <c r="G1079">
        <v>542.42465000000004</v>
      </c>
      <c r="I1079">
        <f t="shared" si="64"/>
        <v>0</v>
      </c>
      <c r="J1079">
        <f t="shared" si="65"/>
        <v>92.346723544313335</v>
      </c>
      <c r="K1079">
        <f t="shared" si="66"/>
        <v>0</v>
      </c>
      <c r="L1079">
        <f t="shared" si="67"/>
        <v>0</v>
      </c>
    </row>
    <row r="1080" spans="1:12" x14ac:dyDescent="0.35">
      <c r="A1080" s="1" t="s">
        <v>77</v>
      </c>
      <c r="B1080">
        <v>1.0280365199999999</v>
      </c>
      <c r="C1080">
        <v>2.4767999999999998E-2</v>
      </c>
      <c r="D1080">
        <v>-1.929</v>
      </c>
      <c r="E1080">
        <v>0</v>
      </c>
      <c r="F1080">
        <v>0</v>
      </c>
      <c r="G1080">
        <v>543.54268999999999</v>
      </c>
      <c r="I1080">
        <f t="shared" si="64"/>
        <v>0.48218416286837618</v>
      </c>
      <c r="J1080">
        <f t="shared" si="65"/>
        <v>-38.606708238220314</v>
      </c>
      <c r="K1080">
        <f t="shared" si="66"/>
        <v>0</v>
      </c>
      <c r="L1080">
        <f t="shared" si="67"/>
        <v>0</v>
      </c>
    </row>
    <row r="1081" spans="1:12" x14ac:dyDescent="0.35">
      <c r="A1081" s="1" t="s">
        <v>78</v>
      </c>
      <c r="B1081">
        <v>0.3745</v>
      </c>
      <c r="C1081">
        <v>0</v>
      </c>
      <c r="D1081">
        <v>4.5116622</v>
      </c>
      <c r="E1081">
        <v>0</v>
      </c>
      <c r="F1081">
        <v>0</v>
      </c>
      <c r="G1081">
        <v>544.00719000000004</v>
      </c>
      <c r="I1081">
        <f t="shared" si="64"/>
        <v>0</v>
      </c>
      <c r="J1081">
        <f t="shared" si="65"/>
        <v>90.29571084748946</v>
      </c>
      <c r="K1081">
        <f t="shared" si="66"/>
        <v>0</v>
      </c>
      <c r="L1081">
        <f t="shared" si="67"/>
        <v>0</v>
      </c>
    </row>
    <row r="1082" spans="1:12" x14ac:dyDescent="0.35">
      <c r="A1082" s="1" t="s">
        <v>35</v>
      </c>
      <c r="B1082">
        <v>0.41782941899999998</v>
      </c>
      <c r="C1082">
        <v>7.6290999999999998E-3</v>
      </c>
      <c r="D1082">
        <v>0</v>
      </c>
      <c r="E1082">
        <v>0</v>
      </c>
      <c r="F1082">
        <v>0</v>
      </c>
      <c r="G1082">
        <v>544.57501999999999</v>
      </c>
      <c r="I1082">
        <f t="shared" si="64"/>
        <v>0.36543053893202671</v>
      </c>
      <c r="J1082">
        <f t="shared" si="65"/>
        <v>0</v>
      </c>
      <c r="K1082">
        <f t="shared" si="66"/>
        <v>0</v>
      </c>
      <c r="L1082">
        <f t="shared" si="67"/>
        <v>0</v>
      </c>
    </row>
    <row r="1083" spans="1:12" x14ac:dyDescent="0.35">
      <c r="A1083" s="1" t="s">
        <v>36</v>
      </c>
      <c r="B1083">
        <v>0.41782864199999997</v>
      </c>
      <c r="C1083">
        <v>5.4992000000000001E-3</v>
      </c>
      <c r="D1083">
        <v>0</v>
      </c>
      <c r="E1083">
        <v>0</v>
      </c>
      <c r="F1083">
        <v>0</v>
      </c>
      <c r="G1083">
        <v>544.99284999999998</v>
      </c>
      <c r="I1083">
        <f t="shared" si="64"/>
        <v>0.26340975432619773</v>
      </c>
      <c r="J1083">
        <f t="shared" si="65"/>
        <v>0</v>
      </c>
      <c r="K1083">
        <f t="shared" si="66"/>
        <v>0</v>
      </c>
      <c r="L1083">
        <f t="shared" si="67"/>
        <v>0</v>
      </c>
    </row>
    <row r="1084" spans="1:12" x14ac:dyDescent="0.35">
      <c r="A1084" s="1" t="s">
        <v>37</v>
      </c>
      <c r="B1084">
        <v>0.41782827500000003</v>
      </c>
      <c r="C1084">
        <v>4.1392E-3</v>
      </c>
      <c r="D1084">
        <v>0</v>
      </c>
      <c r="E1084">
        <v>0</v>
      </c>
      <c r="F1084">
        <v>0</v>
      </c>
      <c r="G1084">
        <v>545.41067999999996</v>
      </c>
      <c r="I1084">
        <f t="shared" si="64"/>
        <v>0.19826640470947862</v>
      </c>
      <c r="J1084">
        <f t="shared" si="65"/>
        <v>0</v>
      </c>
      <c r="K1084">
        <f t="shared" si="66"/>
        <v>0</v>
      </c>
      <c r="L1084">
        <f t="shared" si="67"/>
        <v>0</v>
      </c>
    </row>
    <row r="1085" spans="1:12" x14ac:dyDescent="0.35">
      <c r="A1085" s="1" t="s">
        <v>38</v>
      </c>
      <c r="B1085">
        <v>0.41782808399999999</v>
      </c>
      <c r="C1085">
        <v>3.2192000000000002E-3</v>
      </c>
      <c r="D1085">
        <v>0</v>
      </c>
      <c r="E1085">
        <v>0</v>
      </c>
      <c r="F1085">
        <v>0</v>
      </c>
      <c r="G1085">
        <v>545.82849999999996</v>
      </c>
      <c r="I1085">
        <f t="shared" si="64"/>
        <v>0.15419875865034546</v>
      </c>
      <c r="J1085">
        <f t="shared" si="65"/>
        <v>0</v>
      </c>
      <c r="K1085">
        <f t="shared" si="66"/>
        <v>0</v>
      </c>
      <c r="L1085">
        <f t="shared" si="67"/>
        <v>0</v>
      </c>
    </row>
    <row r="1086" spans="1:12" x14ac:dyDescent="0.35">
      <c r="A1086" s="1" t="s">
        <v>39</v>
      </c>
      <c r="B1086">
        <v>0.41782794400000001</v>
      </c>
      <c r="C1086">
        <v>2.3392E-3</v>
      </c>
      <c r="D1086">
        <v>0</v>
      </c>
      <c r="E1086">
        <v>0</v>
      </c>
      <c r="F1086">
        <v>0</v>
      </c>
      <c r="G1086">
        <v>546.24632999999994</v>
      </c>
      <c r="I1086">
        <f t="shared" si="64"/>
        <v>0.11204704805350077</v>
      </c>
      <c r="J1086">
        <f t="shared" si="65"/>
        <v>0</v>
      </c>
      <c r="K1086">
        <f t="shared" si="66"/>
        <v>0</v>
      </c>
      <c r="L1086">
        <f t="shared" si="67"/>
        <v>0</v>
      </c>
    </row>
    <row r="1087" spans="1:12" x14ac:dyDescent="0.35">
      <c r="A1087" s="1" t="s">
        <v>79</v>
      </c>
      <c r="B1087">
        <v>0.21199999999999999</v>
      </c>
      <c r="C1087">
        <v>0</v>
      </c>
      <c r="D1087">
        <v>-2.53358734</v>
      </c>
      <c r="E1087">
        <v>0</v>
      </c>
      <c r="F1087">
        <v>0</v>
      </c>
      <c r="G1087">
        <v>546.50532999999996</v>
      </c>
      <c r="I1087">
        <f t="shared" si="64"/>
        <v>0</v>
      </c>
      <c r="J1087">
        <f t="shared" si="65"/>
        <v>-50.706825936458621</v>
      </c>
      <c r="K1087">
        <f t="shared" si="66"/>
        <v>0</v>
      </c>
      <c r="L1087">
        <f t="shared" si="67"/>
        <v>0</v>
      </c>
    </row>
    <row r="1088" spans="1:12" x14ac:dyDescent="0.35">
      <c r="A1088" s="1" t="s">
        <v>80</v>
      </c>
      <c r="B1088">
        <v>0.16600000000000001</v>
      </c>
      <c r="C1088">
        <v>0</v>
      </c>
      <c r="D1088">
        <v>0</v>
      </c>
      <c r="E1088">
        <v>-202.23429300000001</v>
      </c>
      <c r="F1088">
        <v>0</v>
      </c>
      <c r="G1088">
        <v>546.74632999999994</v>
      </c>
      <c r="I1088">
        <f t="shared" si="64"/>
        <v>0</v>
      </c>
      <c r="J1088">
        <f t="shared" si="65"/>
        <v>0</v>
      </c>
      <c r="K1088">
        <f t="shared" si="66"/>
        <v>-4047.4859230760812</v>
      </c>
      <c r="L1088">
        <f t="shared" si="67"/>
        <v>0</v>
      </c>
    </row>
    <row r="1089" spans="1:12" x14ac:dyDescent="0.35">
      <c r="A1089" s="1" t="s">
        <v>81</v>
      </c>
      <c r="B1089">
        <v>0.09</v>
      </c>
      <c r="C1089">
        <v>0</v>
      </c>
      <c r="D1089">
        <v>0</v>
      </c>
      <c r="E1089">
        <v>0</v>
      </c>
      <c r="F1089">
        <v>-13632</v>
      </c>
      <c r="G1089">
        <v>547.28718000000003</v>
      </c>
      <c r="I1089">
        <f t="shared" si="64"/>
        <v>0</v>
      </c>
      <c r="J1089">
        <f t="shared" si="65"/>
        <v>0</v>
      </c>
      <c r="K1089">
        <f t="shared" si="66"/>
        <v>0</v>
      </c>
      <c r="L1089">
        <f t="shared" si="67"/>
        <v>-272828.74375501258</v>
      </c>
    </row>
    <row r="1090" spans="1:12" x14ac:dyDescent="0.35">
      <c r="A1090" s="1" t="s">
        <v>82</v>
      </c>
      <c r="B1090">
        <v>0.21199999999999999</v>
      </c>
      <c r="C1090">
        <v>0</v>
      </c>
      <c r="D1090">
        <v>2.47240752</v>
      </c>
      <c r="E1090">
        <v>0</v>
      </c>
      <c r="F1090">
        <v>0</v>
      </c>
      <c r="G1090">
        <v>547.55917999999997</v>
      </c>
      <c r="I1090">
        <f t="shared" si="64"/>
        <v>0</v>
      </c>
      <c r="J1090">
        <f t="shared" si="65"/>
        <v>49.48238246273813</v>
      </c>
      <c r="K1090">
        <f t="shared" si="66"/>
        <v>0</v>
      </c>
      <c r="L1090">
        <f t="shared" si="67"/>
        <v>0</v>
      </c>
    </row>
    <row r="1091" spans="1:12" x14ac:dyDescent="0.35">
      <c r="A1091" s="1" t="s">
        <v>83</v>
      </c>
      <c r="B1091">
        <v>0.1</v>
      </c>
      <c r="C1091">
        <v>0</v>
      </c>
      <c r="D1091">
        <v>0</v>
      </c>
      <c r="E1091">
        <v>172.62799999999999</v>
      </c>
      <c r="F1091">
        <v>0</v>
      </c>
      <c r="G1091">
        <v>547.73418000000004</v>
      </c>
      <c r="I1091">
        <f t="shared" si="64"/>
        <v>0</v>
      </c>
      <c r="J1091">
        <f t="shared" si="65"/>
        <v>0</v>
      </c>
      <c r="K1091">
        <f t="shared" si="66"/>
        <v>3454.9501450220296</v>
      </c>
      <c r="L1091">
        <f t="shared" si="67"/>
        <v>0</v>
      </c>
    </row>
    <row r="1092" spans="1:12" x14ac:dyDescent="0.35">
      <c r="A1092" s="1" t="s">
        <v>83</v>
      </c>
      <c r="B1092">
        <v>0.1</v>
      </c>
      <c r="C1092">
        <v>0</v>
      </c>
      <c r="D1092">
        <v>0</v>
      </c>
      <c r="E1092">
        <v>172.62799999999999</v>
      </c>
      <c r="F1092">
        <v>0</v>
      </c>
      <c r="G1092">
        <f>0.1+547.73418</f>
        <v>547.83418000000006</v>
      </c>
      <c r="I1092">
        <f t="shared" ref="I1092:I1155" si="68">$H$2*$C1092/$B1092</f>
        <v>0</v>
      </c>
      <c r="J1092">
        <f t="shared" ref="J1092:J1155" si="69">$H$2*$D1092</f>
        <v>0</v>
      </c>
      <c r="K1092">
        <f t="shared" ref="K1092:K1155" si="70">$H$2*$E1092</f>
        <v>3454.9501450220296</v>
      </c>
      <c r="L1092">
        <f t="shared" ref="L1092:L1155" si="71">$H$2*$F1092</f>
        <v>0</v>
      </c>
    </row>
    <row r="1093" spans="1:12" x14ac:dyDescent="0.35">
      <c r="A1093" s="1" t="s">
        <v>84</v>
      </c>
      <c r="B1093">
        <v>0.21199999999999999</v>
      </c>
      <c r="C1093">
        <v>0</v>
      </c>
      <c r="D1093">
        <v>2.47240752</v>
      </c>
      <c r="E1093">
        <v>0</v>
      </c>
      <c r="F1093">
        <v>0</v>
      </c>
      <c r="G1093">
        <v>548.12117999999998</v>
      </c>
      <c r="I1093">
        <f t="shared" si="68"/>
        <v>0</v>
      </c>
      <c r="J1093">
        <f t="shared" si="69"/>
        <v>49.48238246273813</v>
      </c>
      <c r="K1093">
        <f t="shared" si="70"/>
        <v>0</v>
      </c>
      <c r="L1093">
        <f t="shared" si="71"/>
        <v>0</v>
      </c>
    </row>
    <row r="1094" spans="1:12" x14ac:dyDescent="0.35">
      <c r="A1094" s="1" t="s">
        <v>85</v>
      </c>
      <c r="B1094">
        <v>0.16600000000000001</v>
      </c>
      <c r="C1094">
        <v>0</v>
      </c>
      <c r="D1094">
        <v>0</v>
      </c>
      <c r="E1094">
        <v>-132.861086</v>
      </c>
      <c r="F1094">
        <v>0</v>
      </c>
      <c r="G1094">
        <v>548.88804000000005</v>
      </c>
      <c r="I1094">
        <f t="shared" si="68"/>
        <v>0</v>
      </c>
      <c r="J1094">
        <f t="shared" si="69"/>
        <v>0</v>
      </c>
      <c r="K1094">
        <f t="shared" si="70"/>
        <v>-2659.0612666744933</v>
      </c>
      <c r="L1094">
        <f t="shared" si="71"/>
        <v>0</v>
      </c>
    </row>
    <row r="1095" spans="1:12" x14ac:dyDescent="0.35">
      <c r="A1095" s="1" t="s">
        <v>86</v>
      </c>
      <c r="B1095">
        <v>0.21199999999999999</v>
      </c>
      <c r="C1095">
        <v>0</v>
      </c>
      <c r="D1095">
        <v>-2.3709669899999999</v>
      </c>
      <c r="E1095">
        <v>0</v>
      </c>
      <c r="F1095">
        <v>0</v>
      </c>
      <c r="G1095">
        <v>549.17503999999997</v>
      </c>
      <c r="I1095">
        <f t="shared" si="68"/>
        <v>0</v>
      </c>
      <c r="J1095">
        <f t="shared" si="69"/>
        <v>-47.452167353748784</v>
      </c>
      <c r="K1095">
        <f t="shared" si="70"/>
        <v>0</v>
      </c>
      <c r="L1095">
        <f t="shared" si="71"/>
        <v>0</v>
      </c>
    </row>
    <row r="1096" spans="1:12" x14ac:dyDescent="0.35">
      <c r="A1096" s="1" t="s">
        <v>48</v>
      </c>
      <c r="B1096">
        <v>0.41782794400000001</v>
      </c>
      <c r="C1096">
        <v>2.3392E-3</v>
      </c>
      <c r="D1096">
        <v>0</v>
      </c>
      <c r="E1096">
        <v>0</v>
      </c>
      <c r="F1096">
        <v>0</v>
      </c>
      <c r="G1096">
        <v>549.63986999999997</v>
      </c>
      <c r="I1096">
        <f t="shared" si="68"/>
        <v>0.11204704805350077</v>
      </c>
      <c r="J1096">
        <f t="shared" si="69"/>
        <v>0</v>
      </c>
      <c r="K1096">
        <f t="shared" si="70"/>
        <v>0</v>
      </c>
      <c r="L1096">
        <f t="shared" si="71"/>
        <v>0</v>
      </c>
    </row>
    <row r="1097" spans="1:12" x14ac:dyDescent="0.35">
      <c r="A1097" s="1" t="s">
        <v>49</v>
      </c>
      <c r="B1097">
        <v>0.41782808399999999</v>
      </c>
      <c r="C1097">
        <v>3.2192000000000002E-3</v>
      </c>
      <c r="D1097">
        <v>0</v>
      </c>
      <c r="E1097">
        <v>0</v>
      </c>
      <c r="F1097">
        <v>0</v>
      </c>
      <c r="G1097">
        <v>550.05768999999998</v>
      </c>
      <c r="I1097">
        <f t="shared" si="68"/>
        <v>0.15419875865034546</v>
      </c>
      <c r="J1097">
        <f t="shared" si="69"/>
        <v>0</v>
      </c>
      <c r="K1097">
        <f t="shared" si="70"/>
        <v>0</v>
      </c>
      <c r="L1097">
        <f t="shared" si="71"/>
        <v>0</v>
      </c>
    </row>
    <row r="1098" spans="1:12" x14ac:dyDescent="0.35">
      <c r="A1098" s="1" t="s">
        <v>50</v>
      </c>
      <c r="B1098">
        <v>0.41782827500000003</v>
      </c>
      <c r="C1098">
        <v>4.1392E-3</v>
      </c>
      <c r="D1098">
        <v>0</v>
      </c>
      <c r="E1098">
        <v>0</v>
      </c>
      <c r="F1098">
        <v>0</v>
      </c>
      <c r="G1098">
        <v>550.47551999999996</v>
      </c>
      <c r="I1098">
        <f t="shared" si="68"/>
        <v>0.19826640470947862</v>
      </c>
      <c r="J1098">
        <f t="shared" si="69"/>
        <v>0</v>
      </c>
      <c r="K1098">
        <f t="shared" si="70"/>
        <v>0</v>
      </c>
      <c r="L1098">
        <f t="shared" si="71"/>
        <v>0</v>
      </c>
    </row>
    <row r="1099" spans="1:12" x14ac:dyDescent="0.35">
      <c r="A1099" s="1" t="s">
        <v>51</v>
      </c>
      <c r="B1099">
        <v>0.41782864199999997</v>
      </c>
      <c r="C1099">
        <v>5.4992000000000001E-3</v>
      </c>
      <c r="D1099">
        <v>0</v>
      </c>
      <c r="E1099">
        <v>0</v>
      </c>
      <c r="F1099">
        <v>0</v>
      </c>
      <c r="G1099">
        <v>550.89335000000005</v>
      </c>
      <c r="I1099">
        <f t="shared" si="68"/>
        <v>0.26340975432619773</v>
      </c>
      <c r="J1099">
        <f t="shared" si="69"/>
        <v>0</v>
      </c>
      <c r="K1099">
        <f t="shared" si="70"/>
        <v>0</v>
      </c>
      <c r="L1099">
        <f t="shared" si="71"/>
        <v>0</v>
      </c>
    </row>
    <row r="1100" spans="1:12" x14ac:dyDescent="0.35">
      <c r="A1100" s="1" t="s">
        <v>52</v>
      </c>
      <c r="B1100">
        <v>0.41783028900000002</v>
      </c>
      <c r="C1100">
        <v>9.4690999999999994E-3</v>
      </c>
      <c r="D1100">
        <v>0</v>
      </c>
      <c r="E1100">
        <v>0</v>
      </c>
      <c r="F1100">
        <v>0</v>
      </c>
      <c r="G1100">
        <v>551.31118000000004</v>
      </c>
      <c r="I1100">
        <f t="shared" si="68"/>
        <v>0.45356478630764774</v>
      </c>
      <c r="J1100">
        <f t="shared" si="69"/>
        <v>0</v>
      </c>
      <c r="K1100">
        <f t="shared" si="70"/>
        <v>0</v>
      </c>
      <c r="L1100">
        <f t="shared" si="71"/>
        <v>0</v>
      </c>
    </row>
    <row r="1101" spans="1:12" x14ac:dyDescent="0.35">
      <c r="A1101" s="1" t="s">
        <v>87</v>
      </c>
      <c r="B1101">
        <v>0.16200000000000001</v>
      </c>
      <c r="C1101">
        <v>0</v>
      </c>
      <c r="D1101">
        <v>-2.8698264299999998</v>
      </c>
      <c r="E1101">
        <v>0</v>
      </c>
      <c r="F1101">
        <v>0</v>
      </c>
      <c r="G1101">
        <v>551.52017999999998</v>
      </c>
      <c r="I1101">
        <f t="shared" si="68"/>
        <v>0</v>
      </c>
      <c r="J1101">
        <f t="shared" si="69"/>
        <v>-57.436263181619168</v>
      </c>
      <c r="K1101">
        <f t="shared" si="70"/>
        <v>0</v>
      </c>
      <c r="L1101">
        <f t="shared" si="71"/>
        <v>0</v>
      </c>
    </row>
    <row r="1102" spans="1:12" x14ac:dyDescent="0.35">
      <c r="A1102" s="1" t="s">
        <v>54</v>
      </c>
      <c r="B1102">
        <v>0.1</v>
      </c>
      <c r="C1102">
        <v>0</v>
      </c>
      <c r="D1102">
        <v>0</v>
      </c>
      <c r="E1102">
        <v>0</v>
      </c>
      <c r="F1102">
        <v>0</v>
      </c>
      <c r="G1102">
        <v>551.85018000000002</v>
      </c>
      <c r="I1102">
        <f t="shared" si="68"/>
        <v>0</v>
      </c>
      <c r="J1102">
        <f t="shared" si="69"/>
        <v>0</v>
      </c>
      <c r="K1102">
        <f t="shared" si="70"/>
        <v>0</v>
      </c>
      <c r="L1102">
        <f t="shared" si="71"/>
        <v>0</v>
      </c>
    </row>
    <row r="1103" spans="1:12" x14ac:dyDescent="0.35">
      <c r="A1103" s="1" t="s">
        <v>88</v>
      </c>
      <c r="B1103">
        <v>0.29499999999999998</v>
      </c>
      <c r="C1103">
        <v>0</v>
      </c>
      <c r="D1103">
        <v>2.43875777</v>
      </c>
      <c r="E1103">
        <v>0</v>
      </c>
      <c r="F1103">
        <v>0</v>
      </c>
      <c r="G1103">
        <v>552.25518</v>
      </c>
      <c r="I1103">
        <f t="shared" si="68"/>
        <v>0</v>
      </c>
      <c r="J1103">
        <f t="shared" si="69"/>
        <v>48.808921560436907</v>
      </c>
      <c r="K1103">
        <f t="shared" si="70"/>
        <v>0</v>
      </c>
      <c r="L1103">
        <f t="shared" si="71"/>
        <v>0</v>
      </c>
    </row>
    <row r="1104" spans="1:12" x14ac:dyDescent="0.35">
      <c r="A1104" s="1" t="s">
        <v>56</v>
      </c>
      <c r="B1104">
        <v>0.29499999999999998</v>
      </c>
      <c r="C1104">
        <v>0</v>
      </c>
      <c r="D1104">
        <v>2.43875777</v>
      </c>
      <c r="E1104">
        <v>0</v>
      </c>
      <c r="F1104">
        <v>0</v>
      </c>
      <c r="G1104">
        <v>558.12833000000001</v>
      </c>
      <c r="I1104">
        <f t="shared" si="68"/>
        <v>0</v>
      </c>
      <c r="J1104">
        <f t="shared" si="69"/>
        <v>48.808921560436907</v>
      </c>
      <c r="K1104">
        <f t="shared" si="70"/>
        <v>0</v>
      </c>
      <c r="L1104">
        <f t="shared" si="71"/>
        <v>0</v>
      </c>
    </row>
    <row r="1105" spans="1:12" x14ac:dyDescent="0.35">
      <c r="A1105" s="1" t="s">
        <v>2</v>
      </c>
      <c r="B1105">
        <v>0.1</v>
      </c>
      <c r="C1105">
        <v>0</v>
      </c>
      <c r="D1105">
        <v>0</v>
      </c>
      <c r="E1105">
        <v>0</v>
      </c>
      <c r="F1105">
        <v>0</v>
      </c>
      <c r="G1105">
        <v>558.33833000000004</v>
      </c>
      <c r="I1105">
        <f t="shared" si="68"/>
        <v>0</v>
      </c>
      <c r="J1105">
        <f t="shared" si="69"/>
        <v>0</v>
      </c>
      <c r="K1105">
        <f t="shared" si="70"/>
        <v>0</v>
      </c>
      <c r="L1105">
        <f t="shared" si="71"/>
        <v>0</v>
      </c>
    </row>
    <row r="1106" spans="1:12" x14ac:dyDescent="0.35">
      <c r="A1106" s="1" t="s">
        <v>57</v>
      </c>
      <c r="B1106">
        <v>0.16200000000000001</v>
      </c>
      <c r="C1106">
        <v>0</v>
      </c>
      <c r="D1106">
        <v>-2.8698264299999998</v>
      </c>
      <c r="E1106">
        <v>0</v>
      </c>
      <c r="F1106">
        <v>0</v>
      </c>
      <c r="G1106">
        <v>558.73032999999998</v>
      </c>
      <c r="I1106">
        <f t="shared" si="68"/>
        <v>0</v>
      </c>
      <c r="J1106">
        <f t="shared" si="69"/>
        <v>-57.436263181619168</v>
      </c>
      <c r="K1106">
        <f t="shared" si="70"/>
        <v>0</v>
      </c>
      <c r="L1106">
        <f t="shared" si="71"/>
        <v>0</v>
      </c>
    </row>
    <row r="1107" spans="1:12" x14ac:dyDescent="0.35">
      <c r="A1107" s="1" t="s">
        <v>58</v>
      </c>
      <c r="B1107">
        <v>0.41783028900000002</v>
      </c>
      <c r="C1107">
        <v>9.4690999999999994E-3</v>
      </c>
      <c r="D1107">
        <v>0</v>
      </c>
      <c r="E1107">
        <v>0</v>
      </c>
      <c r="F1107">
        <v>0</v>
      </c>
      <c r="G1107">
        <v>559.19515999999999</v>
      </c>
      <c r="I1107">
        <f t="shared" si="68"/>
        <v>0.45356478630764774</v>
      </c>
      <c r="J1107">
        <f t="shared" si="69"/>
        <v>0</v>
      </c>
      <c r="K1107">
        <f t="shared" si="70"/>
        <v>0</v>
      </c>
      <c r="L1107">
        <f t="shared" si="71"/>
        <v>0</v>
      </c>
    </row>
    <row r="1108" spans="1:12" x14ac:dyDescent="0.35">
      <c r="A1108" s="1" t="s">
        <v>59</v>
      </c>
      <c r="B1108">
        <v>0.41782864199999997</v>
      </c>
      <c r="C1108">
        <v>5.4992000000000001E-3</v>
      </c>
      <c r="D1108">
        <v>0</v>
      </c>
      <c r="E1108">
        <v>0</v>
      </c>
      <c r="F1108">
        <v>0</v>
      </c>
      <c r="G1108">
        <v>559.61298999999997</v>
      </c>
      <c r="I1108">
        <f t="shared" si="68"/>
        <v>0.26340975432619773</v>
      </c>
      <c r="J1108">
        <f t="shared" si="69"/>
        <v>0</v>
      </c>
      <c r="K1108">
        <f t="shared" si="70"/>
        <v>0</v>
      </c>
      <c r="L1108">
        <f t="shared" si="71"/>
        <v>0</v>
      </c>
    </row>
    <row r="1109" spans="1:12" x14ac:dyDescent="0.35">
      <c r="A1109" s="1" t="s">
        <v>60</v>
      </c>
      <c r="B1109">
        <v>0.41782827500000003</v>
      </c>
      <c r="C1109">
        <v>4.1392E-3</v>
      </c>
      <c r="D1109">
        <v>0</v>
      </c>
      <c r="E1109">
        <v>0</v>
      </c>
      <c r="F1109">
        <v>0</v>
      </c>
      <c r="G1109">
        <v>560.03081999999995</v>
      </c>
      <c r="I1109">
        <f t="shared" si="68"/>
        <v>0.19826640470947862</v>
      </c>
      <c r="J1109">
        <f t="shared" si="69"/>
        <v>0</v>
      </c>
      <c r="K1109">
        <f t="shared" si="70"/>
        <v>0</v>
      </c>
      <c r="L1109">
        <f t="shared" si="71"/>
        <v>0</v>
      </c>
    </row>
    <row r="1110" spans="1:12" x14ac:dyDescent="0.35">
      <c r="A1110" s="1" t="s">
        <v>61</v>
      </c>
      <c r="B1110">
        <v>0.41782808399999999</v>
      </c>
      <c r="C1110">
        <v>3.2192000000000002E-3</v>
      </c>
      <c r="D1110">
        <v>0</v>
      </c>
      <c r="E1110">
        <v>0</v>
      </c>
      <c r="F1110">
        <v>0</v>
      </c>
      <c r="G1110">
        <v>560.44865000000004</v>
      </c>
      <c r="I1110">
        <f t="shared" si="68"/>
        <v>0.15419875865034546</v>
      </c>
      <c r="J1110">
        <f t="shared" si="69"/>
        <v>0</v>
      </c>
      <c r="K1110">
        <f t="shared" si="70"/>
        <v>0</v>
      </c>
      <c r="L1110">
        <f t="shared" si="71"/>
        <v>0</v>
      </c>
    </row>
    <row r="1111" spans="1:12" x14ac:dyDescent="0.35">
      <c r="A1111" s="1" t="s">
        <v>62</v>
      </c>
      <c r="B1111">
        <v>0.41782794400000001</v>
      </c>
      <c r="C1111">
        <v>2.3392E-3</v>
      </c>
      <c r="D1111">
        <v>0</v>
      </c>
      <c r="E1111">
        <v>0</v>
      </c>
      <c r="F1111">
        <v>0</v>
      </c>
      <c r="G1111">
        <v>560.86648000000002</v>
      </c>
      <c r="I1111">
        <f t="shared" si="68"/>
        <v>0.11204704805350077</v>
      </c>
      <c r="J1111">
        <f t="shared" si="69"/>
        <v>0</v>
      </c>
      <c r="K1111">
        <f t="shared" si="70"/>
        <v>0</v>
      </c>
      <c r="L1111">
        <f t="shared" si="71"/>
        <v>0</v>
      </c>
    </row>
    <row r="1112" spans="1:12" x14ac:dyDescent="0.35">
      <c r="A1112" s="1" t="s">
        <v>63</v>
      </c>
      <c r="B1112">
        <v>0.21199999999999999</v>
      </c>
      <c r="C1112">
        <v>0</v>
      </c>
      <c r="D1112">
        <v>-2.3709669899999999</v>
      </c>
      <c r="E1112">
        <v>0</v>
      </c>
      <c r="F1112">
        <v>0</v>
      </c>
      <c r="G1112">
        <v>561.12548000000004</v>
      </c>
      <c r="I1112">
        <f t="shared" si="68"/>
        <v>0</v>
      </c>
      <c r="J1112">
        <f t="shared" si="69"/>
        <v>-47.452167353748784</v>
      </c>
      <c r="K1112">
        <f t="shared" si="70"/>
        <v>0</v>
      </c>
      <c r="L1112">
        <f t="shared" si="71"/>
        <v>0</v>
      </c>
    </row>
    <row r="1113" spans="1:12" x14ac:dyDescent="0.35">
      <c r="A1113" s="1" t="s">
        <v>64</v>
      </c>
      <c r="B1113">
        <v>0.16600000000000001</v>
      </c>
      <c r="C1113">
        <v>0</v>
      </c>
      <c r="D1113">
        <v>0</v>
      </c>
      <c r="E1113">
        <v>-132.861086</v>
      </c>
      <c r="F1113">
        <v>0</v>
      </c>
      <c r="G1113">
        <v>561.36648000000002</v>
      </c>
      <c r="I1113">
        <f t="shared" si="68"/>
        <v>0</v>
      </c>
      <c r="J1113">
        <f t="shared" si="69"/>
        <v>0</v>
      </c>
      <c r="K1113">
        <f t="shared" si="70"/>
        <v>-2659.0612666744933</v>
      </c>
      <c r="L1113">
        <f t="shared" si="71"/>
        <v>0</v>
      </c>
    </row>
    <row r="1114" spans="1:12" x14ac:dyDescent="0.35">
      <c r="A1114" s="1" t="s">
        <v>65</v>
      </c>
      <c r="B1114">
        <v>0.21199999999999999</v>
      </c>
      <c r="C1114">
        <v>0</v>
      </c>
      <c r="D1114">
        <v>2.47240752</v>
      </c>
      <c r="E1114">
        <v>0</v>
      </c>
      <c r="F1114">
        <v>0</v>
      </c>
      <c r="G1114">
        <v>562.17933000000005</v>
      </c>
      <c r="I1114">
        <f t="shared" si="68"/>
        <v>0</v>
      </c>
      <c r="J1114">
        <f t="shared" si="69"/>
        <v>49.48238246273813</v>
      </c>
      <c r="K1114">
        <f t="shared" si="70"/>
        <v>0</v>
      </c>
      <c r="L1114">
        <f t="shared" si="71"/>
        <v>0</v>
      </c>
    </row>
    <row r="1115" spans="1:12" x14ac:dyDescent="0.35">
      <c r="A1115" s="1" t="s">
        <v>66</v>
      </c>
      <c r="B1115">
        <v>0.1</v>
      </c>
      <c r="C1115">
        <v>0</v>
      </c>
      <c r="D1115">
        <v>0</v>
      </c>
      <c r="E1115">
        <v>172.62799999999999</v>
      </c>
      <c r="F1115">
        <v>0</v>
      </c>
      <c r="G1115">
        <v>562.35433</v>
      </c>
      <c r="I1115">
        <f t="shared" si="68"/>
        <v>0</v>
      </c>
      <c r="J1115">
        <f t="shared" si="69"/>
        <v>0</v>
      </c>
      <c r="K1115">
        <f t="shared" si="70"/>
        <v>3454.9501450220296</v>
      </c>
      <c r="L1115">
        <f t="shared" si="71"/>
        <v>0</v>
      </c>
    </row>
    <row r="1116" spans="1:12" x14ac:dyDescent="0.35">
      <c r="A1116" s="1" t="s">
        <v>66</v>
      </c>
      <c r="B1116">
        <v>0.1</v>
      </c>
      <c r="C1116">
        <v>0</v>
      </c>
      <c r="D1116">
        <v>0</v>
      </c>
      <c r="E1116">
        <v>172.62799999999999</v>
      </c>
      <c r="F1116">
        <v>0</v>
      </c>
      <c r="G1116">
        <f>562.35433+0.1</f>
        <v>562.45433000000003</v>
      </c>
      <c r="I1116">
        <f t="shared" si="68"/>
        <v>0</v>
      </c>
      <c r="J1116">
        <f t="shared" si="69"/>
        <v>0</v>
      </c>
      <c r="K1116">
        <f t="shared" si="70"/>
        <v>3454.9501450220296</v>
      </c>
      <c r="L1116">
        <f t="shared" si="71"/>
        <v>0</v>
      </c>
    </row>
    <row r="1117" spans="1:12" x14ac:dyDescent="0.35">
      <c r="A1117" s="1" t="s">
        <v>67</v>
      </c>
      <c r="B1117">
        <v>0.21199999999999999</v>
      </c>
      <c r="C1117">
        <v>0</v>
      </c>
      <c r="D1117">
        <v>2.47240752</v>
      </c>
      <c r="E1117">
        <v>0</v>
      </c>
      <c r="F1117">
        <v>0</v>
      </c>
      <c r="G1117">
        <v>562.74132999999995</v>
      </c>
      <c r="I1117">
        <f t="shared" si="68"/>
        <v>0</v>
      </c>
      <c r="J1117">
        <f t="shared" si="69"/>
        <v>49.48238246273813</v>
      </c>
      <c r="K1117">
        <f t="shared" si="70"/>
        <v>0</v>
      </c>
      <c r="L1117">
        <f t="shared" si="71"/>
        <v>0</v>
      </c>
    </row>
    <row r="1118" spans="1:12" x14ac:dyDescent="0.35">
      <c r="A1118" s="1" t="s">
        <v>68</v>
      </c>
      <c r="B1118">
        <v>0.09</v>
      </c>
      <c r="C1118">
        <v>0</v>
      </c>
      <c r="D1118">
        <v>0</v>
      </c>
      <c r="E1118">
        <v>0</v>
      </c>
      <c r="F1118">
        <v>-13632</v>
      </c>
      <c r="G1118">
        <v>562.89133000000004</v>
      </c>
      <c r="I1118">
        <f t="shared" si="68"/>
        <v>0</v>
      </c>
      <c r="J1118">
        <f t="shared" si="69"/>
        <v>0</v>
      </c>
      <c r="K1118">
        <f t="shared" si="70"/>
        <v>0</v>
      </c>
      <c r="L1118">
        <f t="shared" si="71"/>
        <v>-272828.74375501258</v>
      </c>
    </row>
    <row r="1119" spans="1:12" x14ac:dyDescent="0.35">
      <c r="A1119" s="1" t="s">
        <v>69</v>
      </c>
      <c r="B1119">
        <v>0.16600000000000001</v>
      </c>
      <c r="C1119">
        <v>0</v>
      </c>
      <c r="D1119">
        <v>0</v>
      </c>
      <c r="E1119">
        <v>-202.23429300000001</v>
      </c>
      <c r="F1119">
        <v>0</v>
      </c>
      <c r="G1119">
        <v>563.50818000000004</v>
      </c>
      <c r="I1119">
        <f t="shared" si="68"/>
        <v>0</v>
      </c>
      <c r="J1119">
        <f t="shared" si="69"/>
        <v>0</v>
      </c>
      <c r="K1119">
        <f t="shared" si="70"/>
        <v>-4047.4859230760812</v>
      </c>
      <c r="L1119">
        <f t="shared" si="71"/>
        <v>0</v>
      </c>
    </row>
    <row r="1120" spans="1:12" x14ac:dyDescent="0.35">
      <c r="A1120" s="1" t="s">
        <v>70</v>
      </c>
      <c r="B1120">
        <v>0.21199999999999999</v>
      </c>
      <c r="C1120">
        <v>0</v>
      </c>
      <c r="D1120">
        <v>-2.53358734</v>
      </c>
      <c r="E1120">
        <v>0</v>
      </c>
      <c r="F1120">
        <v>0</v>
      </c>
      <c r="G1120">
        <v>563.79517999999996</v>
      </c>
      <c r="I1120">
        <f t="shared" si="68"/>
        <v>0</v>
      </c>
      <c r="J1120">
        <f t="shared" si="69"/>
        <v>-50.706825936458621</v>
      </c>
      <c r="K1120">
        <f t="shared" si="70"/>
        <v>0</v>
      </c>
      <c r="L1120">
        <f t="shared" si="71"/>
        <v>0</v>
      </c>
    </row>
    <row r="1121" spans="1:12" x14ac:dyDescent="0.35">
      <c r="A1121" s="1" t="s">
        <v>20</v>
      </c>
      <c r="B1121">
        <v>0.41782794400000001</v>
      </c>
      <c r="C1121">
        <v>2.3392E-3</v>
      </c>
      <c r="D1121">
        <v>0</v>
      </c>
      <c r="E1121">
        <v>0</v>
      </c>
      <c r="F1121">
        <v>0</v>
      </c>
      <c r="G1121">
        <v>564.26000999999997</v>
      </c>
      <c r="I1121">
        <f t="shared" si="68"/>
        <v>0.11204704805350077</v>
      </c>
      <c r="J1121">
        <f t="shared" si="69"/>
        <v>0</v>
      </c>
      <c r="K1121">
        <f t="shared" si="70"/>
        <v>0</v>
      </c>
      <c r="L1121">
        <f t="shared" si="71"/>
        <v>0</v>
      </c>
    </row>
    <row r="1122" spans="1:12" x14ac:dyDescent="0.35">
      <c r="A1122" s="1" t="s">
        <v>21</v>
      </c>
      <c r="B1122">
        <v>0.41782808399999999</v>
      </c>
      <c r="C1122">
        <v>3.2192000000000002E-3</v>
      </c>
      <c r="D1122">
        <v>0</v>
      </c>
      <c r="E1122">
        <v>0</v>
      </c>
      <c r="F1122">
        <v>0</v>
      </c>
      <c r="G1122">
        <v>564.67783999999995</v>
      </c>
      <c r="I1122">
        <f t="shared" si="68"/>
        <v>0.15419875865034546</v>
      </c>
      <c r="J1122">
        <f t="shared" si="69"/>
        <v>0</v>
      </c>
      <c r="K1122">
        <f t="shared" si="70"/>
        <v>0</v>
      </c>
      <c r="L1122">
        <f t="shared" si="71"/>
        <v>0</v>
      </c>
    </row>
    <row r="1123" spans="1:12" x14ac:dyDescent="0.35">
      <c r="A1123" s="1" t="s">
        <v>22</v>
      </c>
      <c r="B1123">
        <v>0.41782827500000003</v>
      </c>
      <c r="C1123">
        <v>4.1392E-3</v>
      </c>
      <c r="D1123">
        <v>0</v>
      </c>
      <c r="E1123">
        <v>0</v>
      </c>
      <c r="F1123">
        <v>0</v>
      </c>
      <c r="G1123">
        <v>565.09567000000004</v>
      </c>
      <c r="I1123">
        <f t="shared" si="68"/>
        <v>0.19826640470947862</v>
      </c>
      <c r="J1123">
        <f t="shared" si="69"/>
        <v>0</v>
      </c>
      <c r="K1123">
        <f t="shared" si="70"/>
        <v>0</v>
      </c>
      <c r="L1123">
        <f t="shared" si="71"/>
        <v>0</v>
      </c>
    </row>
    <row r="1124" spans="1:12" x14ac:dyDescent="0.35">
      <c r="A1124" s="1" t="s">
        <v>23</v>
      </c>
      <c r="B1124">
        <v>0.41782864199999997</v>
      </c>
      <c r="C1124">
        <v>5.4992000000000001E-3</v>
      </c>
      <c r="D1124">
        <v>0</v>
      </c>
      <c r="E1124">
        <v>0</v>
      </c>
      <c r="F1124">
        <v>0</v>
      </c>
      <c r="G1124">
        <v>565.51350000000002</v>
      </c>
      <c r="I1124">
        <f t="shared" si="68"/>
        <v>0.26340975432619773</v>
      </c>
      <c r="J1124">
        <f t="shared" si="69"/>
        <v>0</v>
      </c>
      <c r="K1124">
        <f t="shared" si="70"/>
        <v>0</v>
      </c>
      <c r="L1124">
        <f t="shared" si="71"/>
        <v>0</v>
      </c>
    </row>
    <row r="1125" spans="1:12" x14ac:dyDescent="0.35">
      <c r="A1125" s="1" t="s">
        <v>24</v>
      </c>
      <c r="B1125">
        <v>0.41782941899999998</v>
      </c>
      <c r="C1125">
        <v>7.6290999999999998E-3</v>
      </c>
      <c r="D1125">
        <v>0</v>
      </c>
      <c r="E1125">
        <v>0</v>
      </c>
      <c r="F1125">
        <v>0</v>
      </c>
      <c r="G1125">
        <v>565.93133</v>
      </c>
      <c r="I1125">
        <f t="shared" si="68"/>
        <v>0.36543053893202671</v>
      </c>
      <c r="J1125">
        <f t="shared" si="69"/>
        <v>0</v>
      </c>
      <c r="K1125">
        <f t="shared" si="70"/>
        <v>0</v>
      </c>
      <c r="L1125">
        <f t="shared" si="71"/>
        <v>0</v>
      </c>
    </row>
    <row r="1126" spans="1:12" x14ac:dyDescent="0.35">
      <c r="A1126" s="1" t="s">
        <v>71</v>
      </c>
      <c r="B1126">
        <v>0.3745</v>
      </c>
      <c r="C1126">
        <v>0</v>
      </c>
      <c r="D1126">
        <v>4.5116622</v>
      </c>
      <c r="E1126">
        <v>0</v>
      </c>
      <c r="F1126">
        <v>0</v>
      </c>
      <c r="G1126">
        <v>566.45582999999999</v>
      </c>
      <c r="I1126">
        <f t="shared" si="68"/>
        <v>0</v>
      </c>
      <c r="J1126">
        <f t="shared" si="69"/>
        <v>90.29571084748946</v>
      </c>
      <c r="K1126">
        <f t="shared" si="70"/>
        <v>0</v>
      </c>
      <c r="L1126">
        <f t="shared" si="71"/>
        <v>0</v>
      </c>
    </row>
    <row r="1127" spans="1:12" x14ac:dyDescent="0.35">
      <c r="A1127" s="1" t="s">
        <v>72</v>
      </c>
      <c r="B1127">
        <v>1.0280365199999999</v>
      </c>
      <c r="C1127">
        <v>2.4767999999999998E-2</v>
      </c>
      <c r="D1127">
        <v>-1.929</v>
      </c>
      <c r="E1127">
        <v>0</v>
      </c>
      <c r="F1127">
        <v>0</v>
      </c>
      <c r="G1127">
        <v>567.57385999999997</v>
      </c>
      <c r="I1127">
        <f t="shared" si="68"/>
        <v>0.48218416286837618</v>
      </c>
      <c r="J1127">
        <f t="shared" si="69"/>
        <v>-38.606708238220314</v>
      </c>
      <c r="K1127">
        <f t="shared" si="70"/>
        <v>0</v>
      </c>
      <c r="L1127">
        <f t="shared" si="71"/>
        <v>0</v>
      </c>
    </row>
    <row r="1128" spans="1:12" x14ac:dyDescent="0.35">
      <c r="A1128" s="1" t="s">
        <v>73</v>
      </c>
      <c r="B1128">
        <v>0.4975</v>
      </c>
      <c r="C1128">
        <v>0</v>
      </c>
      <c r="D1128">
        <v>4.61414189</v>
      </c>
      <c r="E1128">
        <v>0</v>
      </c>
      <c r="F1128">
        <v>0</v>
      </c>
      <c r="G1128">
        <v>568.16135999999995</v>
      </c>
      <c r="I1128">
        <f t="shared" si="68"/>
        <v>0</v>
      </c>
      <c r="J1128">
        <f t="shared" si="69"/>
        <v>92.346723544313335</v>
      </c>
      <c r="K1128">
        <f t="shared" si="70"/>
        <v>0</v>
      </c>
      <c r="L1128">
        <f t="shared" si="71"/>
        <v>0</v>
      </c>
    </row>
    <row r="1129" spans="1:12" x14ac:dyDescent="0.35">
      <c r="A1129" s="1" t="s">
        <v>28</v>
      </c>
      <c r="B1129">
        <v>0.1</v>
      </c>
      <c r="C1129">
        <v>0</v>
      </c>
      <c r="D1129">
        <v>0</v>
      </c>
      <c r="E1129">
        <v>0</v>
      </c>
      <c r="F1129">
        <v>0</v>
      </c>
      <c r="G1129">
        <v>568.33243000000004</v>
      </c>
      <c r="I1129">
        <f t="shared" si="68"/>
        <v>0</v>
      </c>
      <c r="J1129">
        <f t="shared" si="69"/>
        <v>0</v>
      </c>
      <c r="K1129">
        <f t="shared" si="70"/>
        <v>0</v>
      </c>
      <c r="L1129">
        <f t="shared" si="71"/>
        <v>0</v>
      </c>
    </row>
    <row r="1130" spans="1:12" x14ac:dyDescent="0.35">
      <c r="A1130" s="1" t="s">
        <v>74</v>
      </c>
      <c r="B1130">
        <v>0.40000102700000001</v>
      </c>
      <c r="C1130">
        <v>5.2300999999999997E-3</v>
      </c>
      <c r="D1130">
        <v>-1.5815999999999999</v>
      </c>
      <c r="E1130">
        <v>0</v>
      </c>
      <c r="F1130">
        <v>0</v>
      </c>
      <c r="G1130">
        <v>568.82542999999998</v>
      </c>
      <c r="I1130">
        <f t="shared" si="68"/>
        <v>0.26168536331815889</v>
      </c>
      <c r="J1130">
        <f t="shared" si="69"/>
        <v>-31.653898263125576</v>
      </c>
      <c r="K1130">
        <f t="shared" si="70"/>
        <v>0</v>
      </c>
      <c r="L1130">
        <f t="shared" si="71"/>
        <v>0</v>
      </c>
    </row>
    <row r="1131" spans="1:12" x14ac:dyDescent="0.35">
      <c r="A1131" s="1" t="s">
        <v>30</v>
      </c>
      <c r="B1131">
        <v>2.44294E-2</v>
      </c>
      <c r="C1131">
        <v>1.0499000000000001E-3</v>
      </c>
      <c r="D1131">
        <v>0</v>
      </c>
      <c r="E1131">
        <v>0</v>
      </c>
      <c r="F1131">
        <v>0</v>
      </c>
      <c r="G1131">
        <v>568.92035999999996</v>
      </c>
      <c r="I1131">
        <f t="shared" si="68"/>
        <v>0.8601331402616047</v>
      </c>
      <c r="J1131">
        <f t="shared" si="69"/>
        <v>0</v>
      </c>
      <c r="K1131">
        <f t="shared" si="70"/>
        <v>0</v>
      </c>
      <c r="L1131">
        <f t="shared" si="71"/>
        <v>0</v>
      </c>
    </row>
    <row r="1132" spans="1:12" x14ac:dyDescent="0.35">
      <c r="A1132" s="1" t="s">
        <v>30</v>
      </c>
      <c r="B1132">
        <v>2.44294E-2</v>
      </c>
      <c r="C1132">
        <v>1.0499000000000001E-3</v>
      </c>
      <c r="D1132">
        <v>0</v>
      </c>
      <c r="E1132">
        <v>0</v>
      </c>
      <c r="F1132">
        <v>0</v>
      </c>
      <c r="G1132">
        <f>568.92036+0.0244294</f>
        <v>568.94478939999999</v>
      </c>
      <c r="I1132">
        <f t="shared" si="68"/>
        <v>0.8601331402616047</v>
      </c>
      <c r="J1132">
        <f t="shared" si="69"/>
        <v>0</v>
      </c>
      <c r="K1132">
        <f t="shared" si="70"/>
        <v>0</v>
      </c>
      <c r="L1132">
        <f t="shared" si="71"/>
        <v>0</v>
      </c>
    </row>
    <row r="1133" spans="1:12" x14ac:dyDescent="0.35">
      <c r="A1133" s="1" t="s">
        <v>75</v>
      </c>
      <c r="B1133">
        <v>0.40000102700000001</v>
      </c>
      <c r="C1133">
        <v>5.2300999999999997E-3</v>
      </c>
      <c r="D1133">
        <v>-1.5815999999999999</v>
      </c>
      <c r="E1133">
        <v>0</v>
      </c>
      <c r="F1133">
        <v>0</v>
      </c>
      <c r="G1133">
        <v>569.41529000000003</v>
      </c>
      <c r="I1133">
        <f t="shared" si="68"/>
        <v>0.26168536331815889</v>
      </c>
      <c r="J1133">
        <f t="shared" si="69"/>
        <v>-31.653898263125576</v>
      </c>
      <c r="K1133">
        <f t="shared" si="70"/>
        <v>0</v>
      </c>
      <c r="L1133">
        <f t="shared" si="71"/>
        <v>0</v>
      </c>
    </row>
    <row r="1134" spans="1:12" x14ac:dyDescent="0.35">
      <c r="A1134" s="1" t="s">
        <v>76</v>
      </c>
      <c r="B1134">
        <v>0.4975</v>
      </c>
      <c r="C1134">
        <v>0</v>
      </c>
      <c r="D1134">
        <v>4.61414189</v>
      </c>
      <c r="E1134">
        <v>0</v>
      </c>
      <c r="F1134">
        <v>0</v>
      </c>
      <c r="G1134">
        <v>570.17687000000001</v>
      </c>
      <c r="I1134">
        <f t="shared" si="68"/>
        <v>0</v>
      </c>
      <c r="J1134">
        <f t="shared" si="69"/>
        <v>92.346723544313335</v>
      </c>
      <c r="K1134">
        <f t="shared" si="70"/>
        <v>0</v>
      </c>
      <c r="L1134">
        <f t="shared" si="71"/>
        <v>0</v>
      </c>
    </row>
    <row r="1135" spans="1:12" x14ac:dyDescent="0.35">
      <c r="A1135" s="1" t="s">
        <v>77</v>
      </c>
      <c r="B1135">
        <v>1.0280365199999999</v>
      </c>
      <c r="C1135">
        <v>2.4767999999999998E-2</v>
      </c>
      <c r="D1135">
        <v>-1.929</v>
      </c>
      <c r="E1135">
        <v>0</v>
      </c>
      <c r="F1135">
        <v>0</v>
      </c>
      <c r="G1135">
        <v>571.29489999999998</v>
      </c>
      <c r="I1135">
        <f t="shared" si="68"/>
        <v>0.48218416286837618</v>
      </c>
      <c r="J1135">
        <f t="shared" si="69"/>
        <v>-38.606708238220314</v>
      </c>
      <c r="K1135">
        <f t="shared" si="70"/>
        <v>0</v>
      </c>
      <c r="L1135">
        <f t="shared" si="71"/>
        <v>0</v>
      </c>
    </row>
    <row r="1136" spans="1:12" x14ac:dyDescent="0.35">
      <c r="A1136" s="1" t="s">
        <v>78</v>
      </c>
      <c r="B1136">
        <v>0.3745</v>
      </c>
      <c r="C1136">
        <v>0</v>
      </c>
      <c r="D1136">
        <v>4.5116622</v>
      </c>
      <c r="E1136">
        <v>0</v>
      </c>
      <c r="F1136">
        <v>0</v>
      </c>
      <c r="G1136">
        <v>571.75940000000003</v>
      </c>
      <c r="I1136">
        <f t="shared" si="68"/>
        <v>0</v>
      </c>
      <c r="J1136">
        <f t="shared" si="69"/>
        <v>90.29571084748946</v>
      </c>
      <c r="K1136">
        <f t="shared" si="70"/>
        <v>0</v>
      </c>
      <c r="L1136">
        <f t="shared" si="71"/>
        <v>0</v>
      </c>
    </row>
    <row r="1137" spans="1:12" x14ac:dyDescent="0.35">
      <c r="A1137" s="1" t="s">
        <v>35</v>
      </c>
      <c r="B1137">
        <v>0.41782941899999998</v>
      </c>
      <c r="C1137">
        <v>7.6290999999999998E-3</v>
      </c>
      <c r="D1137">
        <v>0</v>
      </c>
      <c r="E1137">
        <v>0</v>
      </c>
      <c r="F1137">
        <v>0</v>
      </c>
      <c r="G1137">
        <v>572.32722999999999</v>
      </c>
      <c r="I1137">
        <f t="shared" si="68"/>
        <v>0.36543053893202671</v>
      </c>
      <c r="J1137">
        <f t="shared" si="69"/>
        <v>0</v>
      </c>
      <c r="K1137">
        <f t="shared" si="70"/>
        <v>0</v>
      </c>
      <c r="L1137">
        <f t="shared" si="71"/>
        <v>0</v>
      </c>
    </row>
    <row r="1138" spans="1:12" x14ac:dyDescent="0.35">
      <c r="A1138" s="1" t="s">
        <v>36</v>
      </c>
      <c r="B1138">
        <v>0.41782864199999997</v>
      </c>
      <c r="C1138">
        <v>5.4992000000000001E-3</v>
      </c>
      <c r="D1138">
        <v>0</v>
      </c>
      <c r="E1138">
        <v>0</v>
      </c>
      <c r="F1138">
        <v>0</v>
      </c>
      <c r="G1138">
        <v>572.74505999999997</v>
      </c>
      <c r="I1138">
        <f t="shared" si="68"/>
        <v>0.26340975432619773</v>
      </c>
      <c r="J1138">
        <f t="shared" si="69"/>
        <v>0</v>
      </c>
      <c r="K1138">
        <f t="shared" si="70"/>
        <v>0</v>
      </c>
      <c r="L1138">
        <f t="shared" si="71"/>
        <v>0</v>
      </c>
    </row>
    <row r="1139" spans="1:12" x14ac:dyDescent="0.35">
      <c r="A1139" s="1" t="s">
        <v>37</v>
      </c>
      <c r="B1139">
        <v>0.41782827500000003</v>
      </c>
      <c r="C1139">
        <v>4.1392E-3</v>
      </c>
      <c r="D1139">
        <v>0</v>
      </c>
      <c r="E1139">
        <v>0</v>
      </c>
      <c r="F1139">
        <v>0</v>
      </c>
      <c r="G1139">
        <v>573.16288999999995</v>
      </c>
      <c r="I1139">
        <f t="shared" si="68"/>
        <v>0.19826640470947862</v>
      </c>
      <c r="J1139">
        <f t="shared" si="69"/>
        <v>0</v>
      </c>
      <c r="K1139">
        <f t="shared" si="70"/>
        <v>0</v>
      </c>
      <c r="L1139">
        <f t="shared" si="71"/>
        <v>0</v>
      </c>
    </row>
    <row r="1140" spans="1:12" x14ac:dyDescent="0.35">
      <c r="A1140" s="1" t="s">
        <v>38</v>
      </c>
      <c r="B1140">
        <v>0.41782808399999999</v>
      </c>
      <c r="C1140">
        <v>3.2192000000000002E-3</v>
      </c>
      <c r="D1140">
        <v>0</v>
      </c>
      <c r="E1140">
        <v>0</v>
      </c>
      <c r="F1140">
        <v>0</v>
      </c>
      <c r="G1140">
        <v>573.58072000000004</v>
      </c>
      <c r="I1140">
        <f t="shared" si="68"/>
        <v>0.15419875865034546</v>
      </c>
      <c r="J1140">
        <f t="shared" si="69"/>
        <v>0</v>
      </c>
      <c r="K1140">
        <f t="shared" si="70"/>
        <v>0</v>
      </c>
      <c r="L1140">
        <f t="shared" si="71"/>
        <v>0</v>
      </c>
    </row>
    <row r="1141" spans="1:12" x14ac:dyDescent="0.35">
      <c r="A1141" s="1" t="s">
        <v>39</v>
      </c>
      <c r="B1141">
        <v>0.41782794400000001</v>
      </c>
      <c r="C1141">
        <v>2.3392E-3</v>
      </c>
      <c r="D1141">
        <v>0</v>
      </c>
      <c r="E1141">
        <v>0</v>
      </c>
      <c r="F1141">
        <v>0</v>
      </c>
      <c r="G1141">
        <v>573.99854000000005</v>
      </c>
      <c r="I1141">
        <f t="shared" si="68"/>
        <v>0.11204704805350077</v>
      </c>
      <c r="J1141">
        <f t="shared" si="69"/>
        <v>0</v>
      </c>
      <c r="K1141">
        <f t="shared" si="70"/>
        <v>0</v>
      </c>
      <c r="L1141">
        <f t="shared" si="71"/>
        <v>0</v>
      </c>
    </row>
    <row r="1142" spans="1:12" x14ac:dyDescent="0.35">
      <c r="A1142" s="1" t="s">
        <v>79</v>
      </c>
      <c r="B1142">
        <v>0.21199999999999999</v>
      </c>
      <c r="C1142">
        <v>0</v>
      </c>
      <c r="D1142">
        <v>-2.53358734</v>
      </c>
      <c r="E1142">
        <v>0</v>
      </c>
      <c r="F1142">
        <v>0</v>
      </c>
      <c r="G1142">
        <v>574.25753999999995</v>
      </c>
      <c r="I1142">
        <f t="shared" si="68"/>
        <v>0</v>
      </c>
      <c r="J1142">
        <f t="shared" si="69"/>
        <v>-50.706825936458621</v>
      </c>
      <c r="K1142">
        <f t="shared" si="70"/>
        <v>0</v>
      </c>
      <c r="L1142">
        <f t="shared" si="71"/>
        <v>0</v>
      </c>
    </row>
    <row r="1143" spans="1:12" x14ac:dyDescent="0.35">
      <c r="A1143" s="1" t="s">
        <v>80</v>
      </c>
      <c r="B1143">
        <v>0.16600000000000001</v>
      </c>
      <c r="C1143">
        <v>0</v>
      </c>
      <c r="D1143">
        <v>0</v>
      </c>
      <c r="E1143">
        <v>-202.23429300000001</v>
      </c>
      <c r="F1143">
        <v>0</v>
      </c>
      <c r="G1143">
        <v>574.49854000000005</v>
      </c>
      <c r="I1143">
        <f t="shared" si="68"/>
        <v>0</v>
      </c>
      <c r="J1143">
        <f t="shared" si="69"/>
        <v>0</v>
      </c>
      <c r="K1143">
        <f t="shared" si="70"/>
        <v>-4047.4859230760812</v>
      </c>
      <c r="L1143">
        <f t="shared" si="71"/>
        <v>0</v>
      </c>
    </row>
    <row r="1144" spans="1:12" x14ac:dyDescent="0.35">
      <c r="A1144" s="1" t="s">
        <v>81</v>
      </c>
      <c r="B1144">
        <v>0.09</v>
      </c>
      <c r="C1144">
        <v>0</v>
      </c>
      <c r="D1144">
        <v>0</v>
      </c>
      <c r="E1144">
        <v>0</v>
      </c>
      <c r="F1144">
        <v>-13632</v>
      </c>
      <c r="G1144">
        <v>575.0394</v>
      </c>
      <c r="I1144">
        <f t="shared" si="68"/>
        <v>0</v>
      </c>
      <c r="J1144">
        <f t="shared" si="69"/>
        <v>0</v>
      </c>
      <c r="K1144">
        <f t="shared" si="70"/>
        <v>0</v>
      </c>
      <c r="L1144">
        <f t="shared" si="71"/>
        <v>-272828.74375501258</v>
      </c>
    </row>
    <row r="1145" spans="1:12" x14ac:dyDescent="0.35">
      <c r="A1145" s="1" t="s">
        <v>82</v>
      </c>
      <c r="B1145">
        <v>0.21199999999999999</v>
      </c>
      <c r="C1145">
        <v>0</v>
      </c>
      <c r="D1145">
        <v>2.47240752</v>
      </c>
      <c r="E1145">
        <v>0</v>
      </c>
      <c r="F1145">
        <v>0</v>
      </c>
      <c r="G1145">
        <v>575.31140000000005</v>
      </c>
      <c r="I1145">
        <f t="shared" si="68"/>
        <v>0</v>
      </c>
      <c r="J1145">
        <f t="shared" si="69"/>
        <v>49.48238246273813</v>
      </c>
      <c r="K1145">
        <f t="shared" si="70"/>
        <v>0</v>
      </c>
      <c r="L1145">
        <f t="shared" si="71"/>
        <v>0</v>
      </c>
    </row>
    <row r="1146" spans="1:12" x14ac:dyDescent="0.35">
      <c r="A1146" s="1" t="s">
        <v>83</v>
      </c>
      <c r="B1146">
        <v>0.1</v>
      </c>
      <c r="C1146">
        <v>0</v>
      </c>
      <c r="D1146">
        <v>0</v>
      </c>
      <c r="E1146">
        <v>172.62799999999999</v>
      </c>
      <c r="F1146">
        <v>0</v>
      </c>
      <c r="G1146">
        <v>575.4864</v>
      </c>
      <c r="I1146">
        <f t="shared" si="68"/>
        <v>0</v>
      </c>
      <c r="J1146">
        <f t="shared" si="69"/>
        <v>0</v>
      </c>
      <c r="K1146">
        <f t="shared" si="70"/>
        <v>3454.9501450220296</v>
      </c>
      <c r="L1146">
        <f t="shared" si="71"/>
        <v>0</v>
      </c>
    </row>
    <row r="1147" spans="1:12" x14ac:dyDescent="0.35">
      <c r="A1147" s="1" t="s">
        <v>83</v>
      </c>
      <c r="B1147">
        <v>0.1</v>
      </c>
      <c r="C1147">
        <v>0</v>
      </c>
      <c r="D1147">
        <v>0</v>
      </c>
      <c r="E1147">
        <v>172.62799999999999</v>
      </c>
      <c r="F1147">
        <v>0</v>
      </c>
      <c r="G1147">
        <f>0.1+575.4864</f>
        <v>575.58640000000003</v>
      </c>
      <c r="I1147">
        <f t="shared" si="68"/>
        <v>0</v>
      </c>
      <c r="J1147">
        <f t="shared" si="69"/>
        <v>0</v>
      </c>
      <c r="K1147">
        <f t="shared" si="70"/>
        <v>3454.9501450220296</v>
      </c>
      <c r="L1147">
        <f t="shared" si="71"/>
        <v>0</v>
      </c>
    </row>
    <row r="1148" spans="1:12" x14ac:dyDescent="0.35">
      <c r="A1148" s="1" t="s">
        <v>84</v>
      </c>
      <c r="B1148">
        <v>0.21199999999999999</v>
      </c>
      <c r="C1148">
        <v>0</v>
      </c>
      <c r="D1148">
        <v>2.47240752</v>
      </c>
      <c r="E1148">
        <v>0</v>
      </c>
      <c r="F1148">
        <v>0</v>
      </c>
      <c r="G1148">
        <v>575.87339999999995</v>
      </c>
      <c r="I1148">
        <f t="shared" si="68"/>
        <v>0</v>
      </c>
      <c r="J1148">
        <f t="shared" si="69"/>
        <v>49.48238246273813</v>
      </c>
      <c r="K1148">
        <f t="shared" si="70"/>
        <v>0</v>
      </c>
      <c r="L1148">
        <f t="shared" si="71"/>
        <v>0</v>
      </c>
    </row>
    <row r="1149" spans="1:12" x14ac:dyDescent="0.35">
      <c r="A1149" s="1" t="s">
        <v>85</v>
      </c>
      <c r="B1149">
        <v>0.16600000000000001</v>
      </c>
      <c r="C1149">
        <v>0</v>
      </c>
      <c r="D1149">
        <v>0</v>
      </c>
      <c r="E1149">
        <v>-132.861086</v>
      </c>
      <c r="F1149">
        <v>0</v>
      </c>
      <c r="G1149">
        <v>576.64025000000004</v>
      </c>
      <c r="I1149">
        <f t="shared" si="68"/>
        <v>0</v>
      </c>
      <c r="J1149">
        <f t="shared" si="69"/>
        <v>0</v>
      </c>
      <c r="K1149">
        <f t="shared" si="70"/>
        <v>-2659.0612666744933</v>
      </c>
      <c r="L1149">
        <f t="shared" si="71"/>
        <v>0</v>
      </c>
    </row>
    <row r="1150" spans="1:12" x14ac:dyDescent="0.35">
      <c r="A1150" s="1" t="s">
        <v>86</v>
      </c>
      <c r="B1150">
        <v>0.21199999999999999</v>
      </c>
      <c r="C1150">
        <v>0</v>
      </c>
      <c r="D1150">
        <v>-2.3709669899999999</v>
      </c>
      <c r="E1150">
        <v>0</v>
      </c>
      <c r="F1150">
        <v>0</v>
      </c>
      <c r="G1150">
        <v>576.92724999999996</v>
      </c>
      <c r="I1150">
        <f t="shared" si="68"/>
        <v>0</v>
      </c>
      <c r="J1150">
        <f t="shared" si="69"/>
        <v>-47.452167353748784</v>
      </c>
      <c r="K1150">
        <f t="shared" si="70"/>
        <v>0</v>
      </c>
      <c r="L1150">
        <f t="shared" si="71"/>
        <v>0</v>
      </c>
    </row>
    <row r="1151" spans="1:12" x14ac:dyDescent="0.35">
      <c r="A1151" s="1" t="s">
        <v>48</v>
      </c>
      <c r="B1151">
        <v>0.41782794400000001</v>
      </c>
      <c r="C1151">
        <v>2.3392E-3</v>
      </c>
      <c r="D1151">
        <v>0</v>
      </c>
      <c r="E1151">
        <v>0</v>
      </c>
      <c r="F1151">
        <v>0</v>
      </c>
      <c r="G1151">
        <v>577.39207999999996</v>
      </c>
      <c r="I1151">
        <f t="shared" si="68"/>
        <v>0.11204704805350077</v>
      </c>
      <c r="J1151">
        <f t="shared" si="69"/>
        <v>0</v>
      </c>
      <c r="K1151">
        <f t="shared" si="70"/>
        <v>0</v>
      </c>
      <c r="L1151">
        <f t="shared" si="71"/>
        <v>0</v>
      </c>
    </row>
    <row r="1152" spans="1:12" x14ac:dyDescent="0.35">
      <c r="A1152" s="1" t="s">
        <v>49</v>
      </c>
      <c r="B1152">
        <v>0.41782808399999999</v>
      </c>
      <c r="C1152">
        <v>3.2192000000000002E-3</v>
      </c>
      <c r="D1152">
        <v>0</v>
      </c>
      <c r="E1152">
        <v>0</v>
      </c>
      <c r="F1152">
        <v>0</v>
      </c>
      <c r="G1152">
        <v>577.80990999999995</v>
      </c>
      <c r="I1152">
        <f t="shared" si="68"/>
        <v>0.15419875865034546</v>
      </c>
      <c r="J1152">
        <f t="shared" si="69"/>
        <v>0</v>
      </c>
      <c r="K1152">
        <f t="shared" si="70"/>
        <v>0</v>
      </c>
      <c r="L1152">
        <f t="shared" si="71"/>
        <v>0</v>
      </c>
    </row>
    <row r="1153" spans="1:12" x14ac:dyDescent="0.35">
      <c r="A1153" s="1" t="s">
        <v>50</v>
      </c>
      <c r="B1153">
        <v>0.41782827500000003</v>
      </c>
      <c r="C1153">
        <v>4.1392E-3</v>
      </c>
      <c r="D1153">
        <v>0</v>
      </c>
      <c r="E1153">
        <v>0</v>
      </c>
      <c r="F1153">
        <v>0</v>
      </c>
      <c r="G1153">
        <v>578.22774000000004</v>
      </c>
      <c r="I1153">
        <f t="shared" si="68"/>
        <v>0.19826640470947862</v>
      </c>
      <c r="J1153">
        <f t="shared" si="69"/>
        <v>0</v>
      </c>
      <c r="K1153">
        <f t="shared" si="70"/>
        <v>0</v>
      </c>
      <c r="L1153">
        <f t="shared" si="71"/>
        <v>0</v>
      </c>
    </row>
    <row r="1154" spans="1:12" x14ac:dyDescent="0.35">
      <c r="A1154" s="1" t="s">
        <v>51</v>
      </c>
      <c r="B1154">
        <v>0.41782864199999997</v>
      </c>
      <c r="C1154">
        <v>5.4992000000000001E-3</v>
      </c>
      <c r="D1154">
        <v>0</v>
      </c>
      <c r="E1154">
        <v>0</v>
      </c>
      <c r="F1154">
        <v>0</v>
      </c>
      <c r="G1154">
        <v>578.64556000000005</v>
      </c>
      <c r="I1154">
        <f t="shared" si="68"/>
        <v>0.26340975432619773</v>
      </c>
      <c r="J1154">
        <f t="shared" si="69"/>
        <v>0</v>
      </c>
      <c r="K1154">
        <f t="shared" si="70"/>
        <v>0</v>
      </c>
      <c r="L1154">
        <f t="shared" si="71"/>
        <v>0</v>
      </c>
    </row>
    <row r="1155" spans="1:12" x14ac:dyDescent="0.35">
      <c r="A1155" s="1" t="s">
        <v>52</v>
      </c>
      <c r="B1155">
        <v>0.41783028900000002</v>
      </c>
      <c r="C1155">
        <v>9.4690999999999994E-3</v>
      </c>
      <c r="D1155">
        <v>0</v>
      </c>
      <c r="E1155">
        <v>0</v>
      </c>
      <c r="F1155">
        <v>0</v>
      </c>
      <c r="G1155">
        <v>579.06339000000003</v>
      </c>
      <c r="I1155">
        <f t="shared" si="68"/>
        <v>0.45356478630764774</v>
      </c>
      <c r="J1155">
        <f t="shared" si="69"/>
        <v>0</v>
      </c>
      <c r="K1155">
        <f t="shared" si="70"/>
        <v>0</v>
      </c>
      <c r="L1155">
        <f t="shared" si="71"/>
        <v>0</v>
      </c>
    </row>
    <row r="1156" spans="1:12" x14ac:dyDescent="0.35">
      <c r="A1156" s="1" t="s">
        <v>87</v>
      </c>
      <c r="B1156">
        <v>0.16200000000000001</v>
      </c>
      <c r="C1156">
        <v>0</v>
      </c>
      <c r="D1156">
        <v>-2.8698264299999998</v>
      </c>
      <c r="E1156">
        <v>0</v>
      </c>
      <c r="F1156">
        <v>0</v>
      </c>
      <c r="G1156">
        <v>579.27238999999997</v>
      </c>
      <c r="I1156">
        <f t="shared" ref="I1156:I1219" si="72">$H$2*$C1156/$B1156</f>
        <v>0</v>
      </c>
      <c r="J1156">
        <f t="shared" ref="J1156:J1219" si="73">$H$2*$D1156</f>
        <v>-57.436263181619168</v>
      </c>
      <c r="K1156">
        <f t="shared" ref="K1156:K1219" si="74">$H$2*$E1156</f>
        <v>0</v>
      </c>
      <c r="L1156">
        <f t="shared" ref="L1156:L1219" si="75">$H$2*$F1156</f>
        <v>0</v>
      </c>
    </row>
    <row r="1157" spans="1:12" x14ac:dyDescent="0.35">
      <c r="A1157" s="1" t="s">
        <v>54</v>
      </c>
      <c r="B1157">
        <v>0.1</v>
      </c>
      <c r="C1157">
        <v>0</v>
      </c>
      <c r="D1157">
        <v>0</v>
      </c>
      <c r="E1157">
        <v>0</v>
      </c>
      <c r="F1157">
        <v>0</v>
      </c>
      <c r="G1157">
        <v>579.60239000000001</v>
      </c>
      <c r="I1157">
        <f t="shared" si="72"/>
        <v>0</v>
      </c>
      <c r="J1157">
        <f t="shared" si="73"/>
        <v>0</v>
      </c>
      <c r="K1157">
        <f t="shared" si="74"/>
        <v>0</v>
      </c>
      <c r="L1157">
        <f t="shared" si="75"/>
        <v>0</v>
      </c>
    </row>
    <row r="1158" spans="1:12" x14ac:dyDescent="0.35">
      <c r="A1158" s="1" t="s">
        <v>88</v>
      </c>
      <c r="B1158">
        <v>0.29499999999999998</v>
      </c>
      <c r="C1158">
        <v>0</v>
      </c>
      <c r="D1158">
        <v>2.43875777</v>
      </c>
      <c r="E1158">
        <v>0</v>
      </c>
      <c r="F1158">
        <v>0</v>
      </c>
      <c r="G1158">
        <v>580.00738999999999</v>
      </c>
      <c r="I1158">
        <f t="shared" si="72"/>
        <v>0</v>
      </c>
      <c r="J1158">
        <f t="shared" si="73"/>
        <v>48.808921560436907</v>
      </c>
      <c r="K1158">
        <f t="shared" si="74"/>
        <v>0</v>
      </c>
      <c r="L1158">
        <f t="shared" si="75"/>
        <v>0</v>
      </c>
    </row>
    <row r="1159" spans="1:12" x14ac:dyDescent="0.35">
      <c r="A1159" s="1" t="s">
        <v>56</v>
      </c>
      <c r="B1159">
        <v>0.29499999999999998</v>
      </c>
      <c r="C1159">
        <v>0</v>
      </c>
      <c r="D1159">
        <v>2.43875777</v>
      </c>
      <c r="E1159">
        <v>0</v>
      </c>
      <c r="F1159">
        <v>0</v>
      </c>
      <c r="G1159">
        <v>585.88054999999997</v>
      </c>
      <c r="I1159">
        <f t="shared" si="72"/>
        <v>0</v>
      </c>
      <c r="J1159">
        <f t="shared" si="73"/>
        <v>48.808921560436907</v>
      </c>
      <c r="K1159">
        <f t="shared" si="74"/>
        <v>0</v>
      </c>
      <c r="L1159">
        <f t="shared" si="75"/>
        <v>0</v>
      </c>
    </row>
    <row r="1160" spans="1:12" x14ac:dyDescent="0.35">
      <c r="A1160" s="1" t="s">
        <v>2</v>
      </c>
      <c r="B1160">
        <v>0.1</v>
      </c>
      <c r="C1160">
        <v>0</v>
      </c>
      <c r="D1160">
        <v>0</v>
      </c>
      <c r="E1160">
        <v>0</v>
      </c>
      <c r="F1160">
        <v>0</v>
      </c>
      <c r="G1160">
        <v>586.09055000000001</v>
      </c>
      <c r="I1160">
        <f t="shared" si="72"/>
        <v>0</v>
      </c>
      <c r="J1160">
        <f t="shared" si="73"/>
        <v>0</v>
      </c>
      <c r="K1160">
        <f t="shared" si="74"/>
        <v>0</v>
      </c>
      <c r="L1160">
        <f t="shared" si="75"/>
        <v>0</v>
      </c>
    </row>
    <row r="1161" spans="1:12" x14ac:dyDescent="0.35">
      <c r="A1161" s="1" t="s">
        <v>57</v>
      </c>
      <c r="B1161">
        <v>0.16200000000000001</v>
      </c>
      <c r="C1161">
        <v>0</v>
      </c>
      <c r="D1161">
        <v>-2.8698264299999998</v>
      </c>
      <c r="E1161">
        <v>0</v>
      </c>
      <c r="F1161">
        <v>0</v>
      </c>
      <c r="G1161">
        <v>586.48254999999995</v>
      </c>
      <c r="I1161">
        <f t="shared" si="72"/>
        <v>0</v>
      </c>
      <c r="J1161">
        <f t="shared" si="73"/>
        <v>-57.436263181619168</v>
      </c>
      <c r="K1161">
        <f t="shared" si="74"/>
        <v>0</v>
      </c>
      <c r="L1161">
        <f t="shared" si="75"/>
        <v>0</v>
      </c>
    </row>
    <row r="1162" spans="1:12" x14ac:dyDescent="0.35">
      <c r="A1162" s="1" t="s">
        <v>58</v>
      </c>
      <c r="B1162">
        <v>0.41783028900000002</v>
      </c>
      <c r="C1162">
        <v>9.4690999999999994E-3</v>
      </c>
      <c r="D1162">
        <v>0</v>
      </c>
      <c r="E1162">
        <v>0</v>
      </c>
      <c r="F1162">
        <v>0</v>
      </c>
      <c r="G1162">
        <v>586.94737999999995</v>
      </c>
      <c r="I1162">
        <f t="shared" si="72"/>
        <v>0.45356478630764774</v>
      </c>
      <c r="J1162">
        <f t="shared" si="73"/>
        <v>0</v>
      </c>
      <c r="K1162">
        <f t="shared" si="74"/>
        <v>0</v>
      </c>
      <c r="L1162">
        <f t="shared" si="75"/>
        <v>0</v>
      </c>
    </row>
    <row r="1163" spans="1:12" x14ac:dyDescent="0.35">
      <c r="A1163" s="1" t="s">
        <v>59</v>
      </c>
      <c r="B1163">
        <v>0.41782864199999997</v>
      </c>
      <c r="C1163">
        <v>5.4992000000000001E-3</v>
      </c>
      <c r="D1163">
        <v>0</v>
      </c>
      <c r="E1163">
        <v>0</v>
      </c>
      <c r="F1163">
        <v>0</v>
      </c>
      <c r="G1163">
        <v>587.36521000000005</v>
      </c>
      <c r="I1163">
        <f t="shared" si="72"/>
        <v>0.26340975432619773</v>
      </c>
      <c r="J1163">
        <f t="shared" si="73"/>
        <v>0</v>
      </c>
      <c r="K1163">
        <f t="shared" si="74"/>
        <v>0</v>
      </c>
      <c r="L1163">
        <f t="shared" si="75"/>
        <v>0</v>
      </c>
    </row>
    <row r="1164" spans="1:12" x14ac:dyDescent="0.35">
      <c r="A1164" s="1" t="s">
        <v>60</v>
      </c>
      <c r="B1164">
        <v>0.41782827500000003</v>
      </c>
      <c r="C1164">
        <v>4.1392E-3</v>
      </c>
      <c r="D1164">
        <v>0</v>
      </c>
      <c r="E1164">
        <v>0</v>
      </c>
      <c r="F1164">
        <v>0</v>
      </c>
      <c r="G1164">
        <v>587.78303000000005</v>
      </c>
      <c r="I1164">
        <f t="shared" si="72"/>
        <v>0.19826640470947862</v>
      </c>
      <c r="J1164">
        <f t="shared" si="73"/>
        <v>0</v>
      </c>
      <c r="K1164">
        <f t="shared" si="74"/>
        <v>0</v>
      </c>
      <c r="L1164">
        <f t="shared" si="75"/>
        <v>0</v>
      </c>
    </row>
    <row r="1165" spans="1:12" x14ac:dyDescent="0.35">
      <c r="A1165" s="1" t="s">
        <v>61</v>
      </c>
      <c r="B1165">
        <v>0.41782808399999999</v>
      </c>
      <c r="C1165">
        <v>3.2192000000000002E-3</v>
      </c>
      <c r="D1165">
        <v>0</v>
      </c>
      <c r="E1165">
        <v>0</v>
      </c>
      <c r="F1165">
        <v>0</v>
      </c>
      <c r="G1165">
        <v>588.20086000000003</v>
      </c>
      <c r="I1165">
        <f t="shared" si="72"/>
        <v>0.15419875865034546</v>
      </c>
      <c r="J1165">
        <f t="shared" si="73"/>
        <v>0</v>
      </c>
      <c r="K1165">
        <f t="shared" si="74"/>
        <v>0</v>
      </c>
      <c r="L1165">
        <f t="shared" si="75"/>
        <v>0</v>
      </c>
    </row>
    <row r="1166" spans="1:12" x14ac:dyDescent="0.35">
      <c r="A1166" s="1" t="s">
        <v>62</v>
      </c>
      <c r="B1166">
        <v>0.41782794400000001</v>
      </c>
      <c r="C1166">
        <v>2.3392E-3</v>
      </c>
      <c r="D1166">
        <v>0</v>
      </c>
      <c r="E1166">
        <v>0</v>
      </c>
      <c r="F1166">
        <v>0</v>
      </c>
      <c r="G1166">
        <v>588.61869000000002</v>
      </c>
      <c r="I1166">
        <f t="shared" si="72"/>
        <v>0.11204704805350077</v>
      </c>
      <c r="J1166">
        <f t="shared" si="73"/>
        <v>0</v>
      </c>
      <c r="K1166">
        <f t="shared" si="74"/>
        <v>0</v>
      </c>
      <c r="L1166">
        <f t="shared" si="75"/>
        <v>0</v>
      </c>
    </row>
    <row r="1167" spans="1:12" x14ac:dyDescent="0.35">
      <c r="A1167" s="1" t="s">
        <v>63</v>
      </c>
      <c r="B1167">
        <v>0.21199999999999999</v>
      </c>
      <c r="C1167">
        <v>0</v>
      </c>
      <c r="D1167">
        <v>-2.3709669899999999</v>
      </c>
      <c r="E1167">
        <v>0</v>
      </c>
      <c r="F1167">
        <v>0</v>
      </c>
      <c r="G1167">
        <v>588.87769000000003</v>
      </c>
      <c r="I1167">
        <f t="shared" si="72"/>
        <v>0</v>
      </c>
      <c r="J1167">
        <f t="shared" si="73"/>
        <v>-47.452167353748784</v>
      </c>
      <c r="K1167">
        <f t="shared" si="74"/>
        <v>0</v>
      </c>
      <c r="L1167">
        <f t="shared" si="75"/>
        <v>0</v>
      </c>
    </row>
    <row r="1168" spans="1:12" x14ac:dyDescent="0.35">
      <c r="A1168" s="1" t="s">
        <v>64</v>
      </c>
      <c r="B1168">
        <v>0.16600000000000001</v>
      </c>
      <c r="C1168">
        <v>0</v>
      </c>
      <c r="D1168">
        <v>0</v>
      </c>
      <c r="E1168">
        <v>-132.861086</v>
      </c>
      <c r="F1168">
        <v>0</v>
      </c>
      <c r="G1168">
        <v>589.11869000000002</v>
      </c>
      <c r="I1168">
        <f t="shared" si="72"/>
        <v>0</v>
      </c>
      <c r="J1168">
        <f t="shared" si="73"/>
        <v>0</v>
      </c>
      <c r="K1168">
        <f t="shared" si="74"/>
        <v>-2659.0612666744933</v>
      </c>
      <c r="L1168">
        <f t="shared" si="75"/>
        <v>0</v>
      </c>
    </row>
    <row r="1169" spans="1:12" x14ac:dyDescent="0.35">
      <c r="A1169" s="1" t="s">
        <v>65</v>
      </c>
      <c r="B1169">
        <v>0.21199999999999999</v>
      </c>
      <c r="C1169">
        <v>0</v>
      </c>
      <c r="D1169">
        <v>2.47240752</v>
      </c>
      <c r="E1169">
        <v>0</v>
      </c>
      <c r="F1169">
        <v>0</v>
      </c>
      <c r="G1169">
        <v>589.93154000000004</v>
      </c>
      <c r="I1169">
        <f t="shared" si="72"/>
        <v>0</v>
      </c>
      <c r="J1169">
        <f t="shared" si="73"/>
        <v>49.48238246273813</v>
      </c>
      <c r="K1169">
        <f t="shared" si="74"/>
        <v>0</v>
      </c>
      <c r="L1169">
        <f t="shared" si="75"/>
        <v>0</v>
      </c>
    </row>
    <row r="1170" spans="1:12" x14ac:dyDescent="0.35">
      <c r="A1170" s="1" t="s">
        <v>66</v>
      </c>
      <c r="B1170">
        <v>0.1</v>
      </c>
      <c r="C1170">
        <v>0</v>
      </c>
      <c r="D1170">
        <v>0</v>
      </c>
      <c r="E1170">
        <v>172.62799999999999</v>
      </c>
      <c r="F1170">
        <v>0</v>
      </c>
      <c r="G1170">
        <v>590.10654</v>
      </c>
      <c r="I1170">
        <f t="shared" si="72"/>
        <v>0</v>
      </c>
      <c r="J1170">
        <f t="shared" si="73"/>
        <v>0</v>
      </c>
      <c r="K1170">
        <f t="shared" si="74"/>
        <v>3454.9501450220296</v>
      </c>
      <c r="L1170">
        <f t="shared" si="75"/>
        <v>0</v>
      </c>
    </row>
    <row r="1171" spans="1:12" x14ac:dyDescent="0.35">
      <c r="A1171" s="1" t="s">
        <v>66</v>
      </c>
      <c r="B1171">
        <v>0.1</v>
      </c>
      <c r="C1171">
        <v>0</v>
      </c>
      <c r="D1171">
        <v>0</v>
      </c>
      <c r="E1171">
        <v>172.62799999999999</v>
      </c>
      <c r="F1171">
        <v>0</v>
      </c>
      <c r="G1171">
        <f>590.10654+0.1</f>
        <v>590.20654000000002</v>
      </c>
      <c r="I1171">
        <f t="shared" si="72"/>
        <v>0</v>
      </c>
      <c r="J1171">
        <f t="shared" si="73"/>
        <v>0</v>
      </c>
      <c r="K1171">
        <f t="shared" si="74"/>
        <v>3454.9501450220296</v>
      </c>
      <c r="L1171">
        <f t="shared" si="75"/>
        <v>0</v>
      </c>
    </row>
    <row r="1172" spans="1:12" x14ac:dyDescent="0.35">
      <c r="A1172" s="1" t="s">
        <v>67</v>
      </c>
      <c r="B1172">
        <v>0.21199999999999999</v>
      </c>
      <c r="C1172">
        <v>0</v>
      </c>
      <c r="D1172">
        <v>2.47240752</v>
      </c>
      <c r="E1172">
        <v>0</v>
      </c>
      <c r="F1172">
        <v>0</v>
      </c>
      <c r="G1172">
        <v>590.49354000000005</v>
      </c>
      <c r="I1172">
        <f t="shared" si="72"/>
        <v>0</v>
      </c>
      <c r="J1172">
        <f t="shared" si="73"/>
        <v>49.48238246273813</v>
      </c>
      <c r="K1172">
        <f t="shared" si="74"/>
        <v>0</v>
      </c>
      <c r="L1172">
        <f t="shared" si="75"/>
        <v>0</v>
      </c>
    </row>
    <row r="1173" spans="1:12" x14ac:dyDescent="0.35">
      <c r="A1173" s="1" t="s">
        <v>68</v>
      </c>
      <c r="B1173">
        <v>0.09</v>
      </c>
      <c r="C1173">
        <v>0</v>
      </c>
      <c r="D1173">
        <v>0</v>
      </c>
      <c r="E1173">
        <v>0</v>
      </c>
      <c r="F1173">
        <v>-13632</v>
      </c>
      <c r="G1173">
        <v>590.64354000000003</v>
      </c>
      <c r="I1173">
        <f t="shared" si="72"/>
        <v>0</v>
      </c>
      <c r="J1173">
        <f t="shared" si="73"/>
        <v>0</v>
      </c>
      <c r="K1173">
        <f t="shared" si="74"/>
        <v>0</v>
      </c>
      <c r="L1173">
        <f t="shared" si="75"/>
        <v>-272828.74375501258</v>
      </c>
    </row>
    <row r="1174" spans="1:12" x14ac:dyDescent="0.35">
      <c r="A1174" s="1" t="s">
        <v>69</v>
      </c>
      <c r="B1174">
        <v>0.16600000000000001</v>
      </c>
      <c r="C1174">
        <v>0</v>
      </c>
      <c r="D1174">
        <v>0</v>
      </c>
      <c r="E1174">
        <v>-202.23429300000001</v>
      </c>
      <c r="F1174">
        <v>0</v>
      </c>
      <c r="G1174">
        <v>591.2604</v>
      </c>
      <c r="I1174">
        <f t="shared" si="72"/>
        <v>0</v>
      </c>
      <c r="J1174">
        <f t="shared" si="73"/>
        <v>0</v>
      </c>
      <c r="K1174">
        <f t="shared" si="74"/>
        <v>-4047.4859230760812</v>
      </c>
      <c r="L1174">
        <f t="shared" si="75"/>
        <v>0</v>
      </c>
    </row>
    <row r="1175" spans="1:12" x14ac:dyDescent="0.35">
      <c r="A1175" s="1" t="s">
        <v>70</v>
      </c>
      <c r="B1175">
        <v>0.21199999999999999</v>
      </c>
      <c r="C1175">
        <v>0</v>
      </c>
      <c r="D1175">
        <v>-2.53358734</v>
      </c>
      <c r="E1175">
        <v>0</v>
      </c>
      <c r="F1175">
        <v>0</v>
      </c>
      <c r="G1175">
        <v>591.54740000000004</v>
      </c>
      <c r="I1175">
        <f t="shared" si="72"/>
        <v>0</v>
      </c>
      <c r="J1175">
        <f t="shared" si="73"/>
        <v>-50.706825936458621</v>
      </c>
      <c r="K1175">
        <f t="shared" si="74"/>
        <v>0</v>
      </c>
      <c r="L1175">
        <f t="shared" si="75"/>
        <v>0</v>
      </c>
    </row>
    <row r="1176" spans="1:12" x14ac:dyDescent="0.35">
      <c r="A1176" s="1" t="s">
        <v>20</v>
      </c>
      <c r="B1176">
        <v>0.41782794400000001</v>
      </c>
      <c r="C1176">
        <v>2.3392E-3</v>
      </c>
      <c r="D1176">
        <v>0</v>
      </c>
      <c r="E1176">
        <v>0</v>
      </c>
      <c r="F1176">
        <v>0</v>
      </c>
      <c r="G1176">
        <v>592.01223000000005</v>
      </c>
      <c r="I1176">
        <f t="shared" si="72"/>
        <v>0.11204704805350077</v>
      </c>
      <c r="J1176">
        <f t="shared" si="73"/>
        <v>0</v>
      </c>
      <c r="K1176">
        <f t="shared" si="74"/>
        <v>0</v>
      </c>
      <c r="L1176">
        <f t="shared" si="75"/>
        <v>0</v>
      </c>
    </row>
    <row r="1177" spans="1:12" x14ac:dyDescent="0.35">
      <c r="A1177" s="1" t="s">
        <v>21</v>
      </c>
      <c r="B1177">
        <v>0.41782808399999999</v>
      </c>
      <c r="C1177">
        <v>3.2192000000000002E-3</v>
      </c>
      <c r="D1177">
        <v>0</v>
      </c>
      <c r="E1177">
        <v>0</v>
      </c>
      <c r="F1177">
        <v>0</v>
      </c>
      <c r="G1177">
        <v>592.43005000000005</v>
      </c>
      <c r="I1177">
        <f t="shared" si="72"/>
        <v>0.15419875865034546</v>
      </c>
      <c r="J1177">
        <f t="shared" si="73"/>
        <v>0</v>
      </c>
      <c r="K1177">
        <f t="shared" si="74"/>
        <v>0</v>
      </c>
      <c r="L1177">
        <f t="shared" si="75"/>
        <v>0</v>
      </c>
    </row>
    <row r="1178" spans="1:12" x14ac:dyDescent="0.35">
      <c r="A1178" s="1" t="s">
        <v>22</v>
      </c>
      <c r="B1178">
        <v>0.41782827500000003</v>
      </c>
      <c r="C1178">
        <v>4.1392E-3</v>
      </c>
      <c r="D1178">
        <v>0</v>
      </c>
      <c r="E1178">
        <v>0</v>
      </c>
      <c r="F1178">
        <v>0</v>
      </c>
      <c r="G1178">
        <v>592.84788000000003</v>
      </c>
      <c r="I1178">
        <f t="shared" si="72"/>
        <v>0.19826640470947862</v>
      </c>
      <c r="J1178">
        <f t="shared" si="73"/>
        <v>0</v>
      </c>
      <c r="K1178">
        <f t="shared" si="74"/>
        <v>0</v>
      </c>
      <c r="L1178">
        <f t="shared" si="75"/>
        <v>0</v>
      </c>
    </row>
    <row r="1179" spans="1:12" x14ac:dyDescent="0.35">
      <c r="A1179" s="1" t="s">
        <v>23</v>
      </c>
      <c r="B1179">
        <v>0.41782864199999997</v>
      </c>
      <c r="C1179">
        <v>5.4992000000000001E-3</v>
      </c>
      <c r="D1179">
        <v>0</v>
      </c>
      <c r="E1179">
        <v>0</v>
      </c>
      <c r="F1179">
        <v>0</v>
      </c>
      <c r="G1179">
        <v>593.26571000000001</v>
      </c>
      <c r="I1179">
        <f t="shared" si="72"/>
        <v>0.26340975432619773</v>
      </c>
      <c r="J1179">
        <f t="shared" si="73"/>
        <v>0</v>
      </c>
      <c r="K1179">
        <f t="shared" si="74"/>
        <v>0</v>
      </c>
      <c r="L1179">
        <f t="shared" si="75"/>
        <v>0</v>
      </c>
    </row>
    <row r="1180" spans="1:12" x14ac:dyDescent="0.35">
      <c r="A1180" s="1" t="s">
        <v>24</v>
      </c>
      <c r="B1180">
        <v>0.41782941899999998</v>
      </c>
      <c r="C1180">
        <v>7.6290999999999998E-3</v>
      </c>
      <c r="D1180">
        <v>0</v>
      </c>
      <c r="E1180">
        <v>0</v>
      </c>
      <c r="F1180">
        <v>0</v>
      </c>
      <c r="G1180">
        <v>593.68353999999999</v>
      </c>
      <c r="I1180">
        <f t="shared" si="72"/>
        <v>0.36543053893202671</v>
      </c>
      <c r="J1180">
        <f t="shared" si="73"/>
        <v>0</v>
      </c>
      <c r="K1180">
        <f t="shared" si="74"/>
        <v>0</v>
      </c>
      <c r="L1180">
        <f t="shared" si="75"/>
        <v>0</v>
      </c>
    </row>
    <row r="1181" spans="1:12" x14ac:dyDescent="0.35">
      <c r="A1181" s="1" t="s">
        <v>71</v>
      </c>
      <c r="B1181">
        <v>0.3745</v>
      </c>
      <c r="C1181">
        <v>0</v>
      </c>
      <c r="D1181">
        <v>4.5116622</v>
      </c>
      <c r="E1181">
        <v>0</v>
      </c>
      <c r="F1181">
        <v>0</v>
      </c>
      <c r="G1181">
        <v>594.20803999999998</v>
      </c>
      <c r="I1181">
        <f t="shared" si="72"/>
        <v>0</v>
      </c>
      <c r="J1181">
        <f t="shared" si="73"/>
        <v>90.29571084748946</v>
      </c>
      <c r="K1181">
        <f t="shared" si="74"/>
        <v>0</v>
      </c>
      <c r="L1181">
        <f t="shared" si="75"/>
        <v>0</v>
      </c>
    </row>
    <row r="1182" spans="1:12" x14ac:dyDescent="0.35">
      <c r="A1182" s="1" t="s">
        <v>72</v>
      </c>
      <c r="B1182">
        <v>1.0280365199999999</v>
      </c>
      <c r="C1182">
        <v>2.4767999999999998E-2</v>
      </c>
      <c r="D1182">
        <v>-1.929</v>
      </c>
      <c r="E1182">
        <v>0</v>
      </c>
      <c r="F1182">
        <v>0</v>
      </c>
      <c r="G1182">
        <v>595.32608000000005</v>
      </c>
      <c r="I1182">
        <f t="shared" si="72"/>
        <v>0.48218416286837618</v>
      </c>
      <c r="J1182">
        <f t="shared" si="73"/>
        <v>-38.606708238220314</v>
      </c>
      <c r="K1182">
        <f t="shared" si="74"/>
        <v>0</v>
      </c>
      <c r="L1182">
        <f t="shared" si="75"/>
        <v>0</v>
      </c>
    </row>
    <row r="1183" spans="1:12" x14ac:dyDescent="0.35">
      <c r="A1183" s="1" t="s">
        <v>73</v>
      </c>
      <c r="B1183">
        <v>0.4975</v>
      </c>
      <c r="C1183">
        <v>0</v>
      </c>
      <c r="D1183">
        <v>4.61414189</v>
      </c>
      <c r="E1183">
        <v>0</v>
      </c>
      <c r="F1183">
        <v>0</v>
      </c>
      <c r="G1183">
        <v>595.91358000000002</v>
      </c>
      <c r="I1183">
        <f t="shared" si="72"/>
        <v>0</v>
      </c>
      <c r="J1183">
        <f t="shared" si="73"/>
        <v>92.346723544313335</v>
      </c>
      <c r="K1183">
        <f t="shared" si="74"/>
        <v>0</v>
      </c>
      <c r="L1183">
        <f t="shared" si="75"/>
        <v>0</v>
      </c>
    </row>
    <row r="1184" spans="1:12" x14ac:dyDescent="0.35">
      <c r="A1184" s="1" t="s">
        <v>28</v>
      </c>
      <c r="B1184">
        <v>0.1</v>
      </c>
      <c r="C1184">
        <v>0</v>
      </c>
      <c r="D1184">
        <v>0</v>
      </c>
      <c r="E1184">
        <v>0</v>
      </c>
      <c r="F1184">
        <v>0</v>
      </c>
      <c r="G1184">
        <v>596.08465000000001</v>
      </c>
      <c r="I1184">
        <f t="shared" si="72"/>
        <v>0</v>
      </c>
      <c r="J1184">
        <f t="shared" si="73"/>
        <v>0</v>
      </c>
      <c r="K1184">
        <f t="shared" si="74"/>
        <v>0</v>
      </c>
      <c r="L1184">
        <f t="shared" si="75"/>
        <v>0</v>
      </c>
    </row>
    <row r="1185" spans="1:12" x14ac:dyDescent="0.35">
      <c r="A1185" s="1" t="s">
        <v>74</v>
      </c>
      <c r="B1185">
        <v>0.40000102700000001</v>
      </c>
      <c r="C1185">
        <v>5.2300999999999997E-3</v>
      </c>
      <c r="D1185">
        <v>-1.5815999999999999</v>
      </c>
      <c r="E1185">
        <v>0</v>
      </c>
      <c r="F1185">
        <v>0</v>
      </c>
      <c r="G1185">
        <v>596.57764999999995</v>
      </c>
      <c r="I1185">
        <f t="shared" si="72"/>
        <v>0.26168536331815889</v>
      </c>
      <c r="J1185">
        <f t="shared" si="73"/>
        <v>-31.653898263125576</v>
      </c>
      <c r="K1185">
        <f t="shared" si="74"/>
        <v>0</v>
      </c>
      <c r="L1185">
        <f t="shared" si="75"/>
        <v>0</v>
      </c>
    </row>
    <row r="1186" spans="1:12" x14ac:dyDescent="0.35">
      <c r="A1186" s="1" t="s">
        <v>30</v>
      </c>
      <c r="B1186">
        <v>2.44294E-2</v>
      </c>
      <c r="C1186">
        <v>1.0499000000000001E-3</v>
      </c>
      <c r="D1186">
        <v>0</v>
      </c>
      <c r="E1186">
        <v>0</v>
      </c>
      <c r="F1186">
        <v>0</v>
      </c>
      <c r="G1186">
        <v>596.67258000000004</v>
      </c>
      <c r="I1186">
        <f t="shared" si="72"/>
        <v>0.8601331402616047</v>
      </c>
      <c r="J1186">
        <f t="shared" si="73"/>
        <v>0</v>
      </c>
      <c r="K1186">
        <f t="shared" si="74"/>
        <v>0</v>
      </c>
      <c r="L1186">
        <f t="shared" si="75"/>
        <v>0</v>
      </c>
    </row>
    <row r="1187" spans="1:12" x14ac:dyDescent="0.35">
      <c r="A1187" s="1" t="s">
        <v>30</v>
      </c>
      <c r="B1187">
        <v>2.44294E-2</v>
      </c>
      <c r="C1187">
        <v>1.0499000000000001E-3</v>
      </c>
      <c r="D1187">
        <v>0</v>
      </c>
      <c r="E1187">
        <v>0</v>
      </c>
      <c r="F1187">
        <v>0</v>
      </c>
      <c r="G1187">
        <f>596.67258+0.0244294</f>
        <v>596.69700940000007</v>
      </c>
      <c r="I1187">
        <f t="shared" si="72"/>
        <v>0.8601331402616047</v>
      </c>
      <c r="J1187">
        <f t="shared" si="73"/>
        <v>0</v>
      </c>
      <c r="K1187">
        <f t="shared" si="74"/>
        <v>0</v>
      </c>
      <c r="L1187">
        <f t="shared" si="75"/>
        <v>0</v>
      </c>
    </row>
    <row r="1188" spans="1:12" x14ac:dyDescent="0.35">
      <c r="A1188" s="1" t="s">
        <v>75</v>
      </c>
      <c r="B1188">
        <v>0.40000102700000001</v>
      </c>
      <c r="C1188">
        <v>5.2300999999999997E-3</v>
      </c>
      <c r="D1188">
        <v>-1.5815999999999999</v>
      </c>
      <c r="E1188">
        <v>0</v>
      </c>
      <c r="F1188">
        <v>0</v>
      </c>
      <c r="G1188">
        <v>597.16750999999999</v>
      </c>
      <c r="I1188">
        <f t="shared" si="72"/>
        <v>0.26168536331815889</v>
      </c>
      <c r="J1188">
        <f t="shared" si="73"/>
        <v>-31.653898263125576</v>
      </c>
      <c r="K1188">
        <f t="shared" si="74"/>
        <v>0</v>
      </c>
      <c r="L1188">
        <f t="shared" si="75"/>
        <v>0</v>
      </c>
    </row>
    <row r="1189" spans="1:12" x14ac:dyDescent="0.35">
      <c r="A1189" s="1" t="s">
        <v>76</v>
      </c>
      <c r="B1189">
        <v>0.4975</v>
      </c>
      <c r="C1189">
        <v>0</v>
      </c>
      <c r="D1189">
        <v>4.61414189</v>
      </c>
      <c r="E1189">
        <v>0</v>
      </c>
      <c r="F1189">
        <v>0</v>
      </c>
      <c r="G1189">
        <v>597.92908</v>
      </c>
      <c r="I1189">
        <f t="shared" si="72"/>
        <v>0</v>
      </c>
      <c r="J1189">
        <f t="shared" si="73"/>
        <v>92.346723544313335</v>
      </c>
      <c r="K1189">
        <f t="shared" si="74"/>
        <v>0</v>
      </c>
      <c r="L1189">
        <f t="shared" si="75"/>
        <v>0</v>
      </c>
    </row>
    <row r="1190" spans="1:12" x14ac:dyDescent="0.35">
      <c r="A1190" s="1" t="s">
        <v>77</v>
      </c>
      <c r="B1190">
        <v>1.0280365199999999</v>
      </c>
      <c r="C1190">
        <v>2.4767999999999998E-2</v>
      </c>
      <c r="D1190">
        <v>-1.929</v>
      </c>
      <c r="E1190">
        <v>0</v>
      </c>
      <c r="F1190">
        <v>0</v>
      </c>
      <c r="G1190">
        <v>599.04710999999998</v>
      </c>
      <c r="I1190">
        <f t="shared" si="72"/>
        <v>0.48218416286837618</v>
      </c>
      <c r="J1190">
        <f t="shared" si="73"/>
        <v>-38.606708238220314</v>
      </c>
      <c r="K1190">
        <f t="shared" si="74"/>
        <v>0</v>
      </c>
      <c r="L1190">
        <f t="shared" si="75"/>
        <v>0</v>
      </c>
    </row>
    <row r="1191" spans="1:12" x14ac:dyDescent="0.35">
      <c r="A1191" s="1" t="s">
        <v>78</v>
      </c>
      <c r="B1191">
        <v>0.3745</v>
      </c>
      <c r="C1191">
        <v>0</v>
      </c>
      <c r="D1191">
        <v>4.5116622</v>
      </c>
      <c r="E1191">
        <v>0</v>
      </c>
      <c r="F1191">
        <v>0</v>
      </c>
      <c r="G1191">
        <v>599.51161000000002</v>
      </c>
      <c r="I1191">
        <f t="shared" si="72"/>
        <v>0</v>
      </c>
      <c r="J1191">
        <f t="shared" si="73"/>
        <v>90.29571084748946</v>
      </c>
      <c r="K1191">
        <f t="shared" si="74"/>
        <v>0</v>
      </c>
      <c r="L1191">
        <f t="shared" si="75"/>
        <v>0</v>
      </c>
    </row>
    <row r="1192" spans="1:12" x14ac:dyDescent="0.35">
      <c r="A1192" s="1" t="s">
        <v>35</v>
      </c>
      <c r="B1192">
        <v>0.41782941899999998</v>
      </c>
      <c r="C1192">
        <v>7.6290999999999998E-3</v>
      </c>
      <c r="D1192">
        <v>0</v>
      </c>
      <c r="E1192">
        <v>0</v>
      </c>
      <c r="F1192">
        <v>0</v>
      </c>
      <c r="G1192">
        <v>600.07943999999998</v>
      </c>
      <c r="I1192">
        <f t="shared" si="72"/>
        <v>0.36543053893202671</v>
      </c>
      <c r="J1192">
        <f t="shared" si="73"/>
        <v>0</v>
      </c>
      <c r="K1192">
        <f t="shared" si="74"/>
        <v>0</v>
      </c>
      <c r="L1192">
        <f t="shared" si="75"/>
        <v>0</v>
      </c>
    </row>
    <row r="1193" spans="1:12" x14ac:dyDescent="0.35">
      <c r="A1193" s="1" t="s">
        <v>36</v>
      </c>
      <c r="B1193">
        <v>0.41782864199999997</v>
      </c>
      <c r="C1193">
        <v>5.4992000000000001E-3</v>
      </c>
      <c r="D1193">
        <v>0</v>
      </c>
      <c r="E1193">
        <v>0</v>
      </c>
      <c r="F1193">
        <v>0</v>
      </c>
      <c r="G1193">
        <v>600.49726999999996</v>
      </c>
      <c r="I1193">
        <f t="shared" si="72"/>
        <v>0.26340975432619773</v>
      </c>
      <c r="J1193">
        <f t="shared" si="73"/>
        <v>0</v>
      </c>
      <c r="K1193">
        <f t="shared" si="74"/>
        <v>0</v>
      </c>
      <c r="L1193">
        <f t="shared" si="75"/>
        <v>0</v>
      </c>
    </row>
    <row r="1194" spans="1:12" x14ac:dyDescent="0.35">
      <c r="A1194" s="1" t="s">
        <v>37</v>
      </c>
      <c r="B1194">
        <v>0.41782827500000003</v>
      </c>
      <c r="C1194">
        <v>4.1392E-3</v>
      </c>
      <c r="D1194">
        <v>0</v>
      </c>
      <c r="E1194">
        <v>0</v>
      </c>
      <c r="F1194">
        <v>0</v>
      </c>
      <c r="G1194">
        <v>600.91510000000005</v>
      </c>
      <c r="I1194">
        <f t="shared" si="72"/>
        <v>0.19826640470947862</v>
      </c>
      <c r="J1194">
        <f t="shared" si="73"/>
        <v>0</v>
      </c>
      <c r="K1194">
        <f t="shared" si="74"/>
        <v>0</v>
      </c>
      <c r="L1194">
        <f t="shared" si="75"/>
        <v>0</v>
      </c>
    </row>
    <row r="1195" spans="1:12" x14ac:dyDescent="0.35">
      <c r="A1195" s="1" t="s">
        <v>38</v>
      </c>
      <c r="B1195">
        <v>0.41782808399999999</v>
      </c>
      <c r="C1195">
        <v>3.2192000000000002E-3</v>
      </c>
      <c r="D1195">
        <v>0</v>
      </c>
      <c r="E1195">
        <v>0</v>
      </c>
      <c r="F1195">
        <v>0</v>
      </c>
      <c r="G1195">
        <v>601.33293000000003</v>
      </c>
      <c r="I1195">
        <f t="shared" si="72"/>
        <v>0.15419875865034546</v>
      </c>
      <c r="J1195">
        <f t="shared" si="73"/>
        <v>0</v>
      </c>
      <c r="K1195">
        <f t="shared" si="74"/>
        <v>0</v>
      </c>
      <c r="L1195">
        <f t="shared" si="75"/>
        <v>0</v>
      </c>
    </row>
    <row r="1196" spans="1:12" x14ac:dyDescent="0.35">
      <c r="A1196" s="1" t="s">
        <v>39</v>
      </c>
      <c r="B1196">
        <v>0.41782794400000001</v>
      </c>
      <c r="C1196">
        <v>2.3392E-3</v>
      </c>
      <c r="D1196">
        <v>0</v>
      </c>
      <c r="E1196">
        <v>0</v>
      </c>
      <c r="F1196">
        <v>0</v>
      </c>
      <c r="G1196">
        <v>601.75076000000001</v>
      </c>
      <c r="I1196">
        <f t="shared" si="72"/>
        <v>0.11204704805350077</v>
      </c>
      <c r="J1196">
        <f t="shared" si="73"/>
        <v>0</v>
      </c>
      <c r="K1196">
        <f t="shared" si="74"/>
        <v>0</v>
      </c>
      <c r="L1196">
        <f t="shared" si="75"/>
        <v>0</v>
      </c>
    </row>
    <row r="1197" spans="1:12" x14ac:dyDescent="0.35">
      <c r="A1197" s="1" t="s">
        <v>79</v>
      </c>
      <c r="B1197">
        <v>0.21199999999999999</v>
      </c>
      <c r="C1197">
        <v>0</v>
      </c>
      <c r="D1197">
        <v>-2.53358734</v>
      </c>
      <c r="E1197">
        <v>0</v>
      </c>
      <c r="F1197">
        <v>0</v>
      </c>
      <c r="G1197">
        <v>602.00976000000003</v>
      </c>
      <c r="I1197">
        <f t="shared" si="72"/>
        <v>0</v>
      </c>
      <c r="J1197">
        <f t="shared" si="73"/>
        <v>-50.706825936458621</v>
      </c>
      <c r="K1197">
        <f t="shared" si="74"/>
        <v>0</v>
      </c>
      <c r="L1197">
        <f t="shared" si="75"/>
        <v>0</v>
      </c>
    </row>
    <row r="1198" spans="1:12" x14ac:dyDescent="0.35">
      <c r="A1198" s="1" t="s">
        <v>80</v>
      </c>
      <c r="B1198">
        <v>0.16600000000000001</v>
      </c>
      <c r="C1198">
        <v>0</v>
      </c>
      <c r="D1198">
        <v>0</v>
      </c>
      <c r="E1198">
        <v>-202.23429300000001</v>
      </c>
      <c r="F1198">
        <v>0</v>
      </c>
      <c r="G1198">
        <v>602.25076000000001</v>
      </c>
      <c r="I1198">
        <f t="shared" si="72"/>
        <v>0</v>
      </c>
      <c r="J1198">
        <f t="shared" si="73"/>
        <v>0</v>
      </c>
      <c r="K1198">
        <f t="shared" si="74"/>
        <v>-4047.4859230760812</v>
      </c>
      <c r="L1198">
        <f t="shared" si="75"/>
        <v>0</v>
      </c>
    </row>
    <row r="1199" spans="1:12" x14ac:dyDescent="0.35">
      <c r="A1199" s="1" t="s">
        <v>81</v>
      </c>
      <c r="B1199">
        <v>0.09</v>
      </c>
      <c r="C1199">
        <v>0</v>
      </c>
      <c r="D1199">
        <v>0</v>
      </c>
      <c r="E1199">
        <v>0</v>
      </c>
      <c r="F1199">
        <v>-13632</v>
      </c>
      <c r="G1199">
        <v>602.79160999999999</v>
      </c>
      <c r="I1199">
        <f t="shared" si="72"/>
        <v>0</v>
      </c>
      <c r="J1199">
        <f t="shared" si="73"/>
        <v>0</v>
      </c>
      <c r="K1199">
        <f t="shared" si="74"/>
        <v>0</v>
      </c>
      <c r="L1199">
        <f t="shared" si="75"/>
        <v>-272828.74375501258</v>
      </c>
    </row>
    <row r="1200" spans="1:12" x14ac:dyDescent="0.35">
      <c r="A1200" s="1" t="s">
        <v>82</v>
      </c>
      <c r="B1200">
        <v>0.21199999999999999</v>
      </c>
      <c r="C1200">
        <v>0</v>
      </c>
      <c r="D1200">
        <v>2.47240752</v>
      </c>
      <c r="E1200">
        <v>0</v>
      </c>
      <c r="F1200">
        <v>0</v>
      </c>
      <c r="G1200">
        <v>603.06361000000004</v>
      </c>
      <c r="I1200">
        <f t="shared" si="72"/>
        <v>0</v>
      </c>
      <c r="J1200">
        <f t="shared" si="73"/>
        <v>49.48238246273813</v>
      </c>
      <c r="K1200">
        <f t="shared" si="74"/>
        <v>0</v>
      </c>
      <c r="L1200">
        <f t="shared" si="75"/>
        <v>0</v>
      </c>
    </row>
    <row r="1201" spans="1:12" x14ac:dyDescent="0.35">
      <c r="A1201" s="1" t="s">
        <v>83</v>
      </c>
      <c r="B1201">
        <v>0.1</v>
      </c>
      <c r="C1201">
        <v>0</v>
      </c>
      <c r="D1201">
        <v>0</v>
      </c>
      <c r="E1201">
        <v>172.62799999999999</v>
      </c>
      <c r="F1201">
        <v>0</v>
      </c>
      <c r="G1201">
        <v>603.23860999999999</v>
      </c>
      <c r="I1201">
        <f t="shared" si="72"/>
        <v>0</v>
      </c>
      <c r="J1201">
        <f t="shared" si="73"/>
        <v>0</v>
      </c>
      <c r="K1201">
        <f t="shared" si="74"/>
        <v>3454.9501450220296</v>
      </c>
      <c r="L1201">
        <f t="shared" si="75"/>
        <v>0</v>
      </c>
    </row>
    <row r="1202" spans="1:12" x14ac:dyDescent="0.35">
      <c r="A1202" s="1" t="s">
        <v>83</v>
      </c>
      <c r="B1202">
        <v>0.1</v>
      </c>
      <c r="C1202">
        <v>0</v>
      </c>
      <c r="D1202">
        <v>0</v>
      </c>
      <c r="E1202">
        <v>172.62799999999999</v>
      </c>
      <c r="F1202">
        <v>0</v>
      </c>
      <c r="G1202">
        <f>0.1+603.23861</f>
        <v>603.33861000000002</v>
      </c>
      <c r="I1202">
        <f t="shared" si="72"/>
        <v>0</v>
      </c>
      <c r="J1202">
        <f t="shared" si="73"/>
        <v>0</v>
      </c>
      <c r="K1202">
        <f t="shared" si="74"/>
        <v>3454.9501450220296</v>
      </c>
      <c r="L1202">
        <f t="shared" si="75"/>
        <v>0</v>
      </c>
    </row>
    <row r="1203" spans="1:12" x14ac:dyDescent="0.35">
      <c r="A1203" s="1" t="s">
        <v>84</v>
      </c>
      <c r="B1203">
        <v>0.21199999999999999</v>
      </c>
      <c r="C1203">
        <v>0</v>
      </c>
      <c r="D1203">
        <v>2.47240752</v>
      </c>
      <c r="E1203">
        <v>0</v>
      </c>
      <c r="F1203">
        <v>0</v>
      </c>
      <c r="G1203">
        <v>603.62561000000005</v>
      </c>
      <c r="I1203">
        <f t="shared" si="72"/>
        <v>0</v>
      </c>
      <c r="J1203">
        <f t="shared" si="73"/>
        <v>49.48238246273813</v>
      </c>
      <c r="K1203">
        <f t="shared" si="74"/>
        <v>0</v>
      </c>
      <c r="L1203">
        <f t="shared" si="75"/>
        <v>0</v>
      </c>
    </row>
    <row r="1204" spans="1:12" x14ac:dyDescent="0.35">
      <c r="A1204" s="1" t="s">
        <v>85</v>
      </c>
      <c r="B1204">
        <v>0.16600000000000001</v>
      </c>
      <c r="C1204">
        <v>0</v>
      </c>
      <c r="D1204">
        <v>0</v>
      </c>
      <c r="E1204">
        <v>-132.861086</v>
      </c>
      <c r="F1204">
        <v>0</v>
      </c>
      <c r="G1204">
        <v>604.39246000000003</v>
      </c>
      <c r="I1204">
        <f t="shared" si="72"/>
        <v>0</v>
      </c>
      <c r="J1204">
        <f t="shared" si="73"/>
        <v>0</v>
      </c>
      <c r="K1204">
        <f t="shared" si="74"/>
        <v>-2659.0612666744933</v>
      </c>
      <c r="L1204">
        <f t="shared" si="75"/>
        <v>0</v>
      </c>
    </row>
    <row r="1205" spans="1:12" x14ac:dyDescent="0.35">
      <c r="A1205" s="1" t="s">
        <v>86</v>
      </c>
      <c r="B1205">
        <v>0.21199999999999999</v>
      </c>
      <c r="C1205">
        <v>0</v>
      </c>
      <c r="D1205">
        <v>-2.3709669899999999</v>
      </c>
      <c r="E1205">
        <v>0</v>
      </c>
      <c r="F1205">
        <v>0</v>
      </c>
      <c r="G1205">
        <v>604.67945999999995</v>
      </c>
      <c r="I1205">
        <f t="shared" si="72"/>
        <v>0</v>
      </c>
      <c r="J1205">
        <f t="shared" si="73"/>
        <v>-47.452167353748784</v>
      </c>
      <c r="K1205">
        <f t="shared" si="74"/>
        <v>0</v>
      </c>
      <c r="L1205">
        <f t="shared" si="75"/>
        <v>0</v>
      </c>
    </row>
    <row r="1206" spans="1:12" x14ac:dyDescent="0.35">
      <c r="A1206" s="1" t="s">
        <v>48</v>
      </c>
      <c r="B1206">
        <v>0.41782794400000001</v>
      </c>
      <c r="C1206">
        <v>2.3392E-3</v>
      </c>
      <c r="D1206">
        <v>0</v>
      </c>
      <c r="E1206">
        <v>0</v>
      </c>
      <c r="F1206">
        <v>0</v>
      </c>
      <c r="G1206">
        <v>605.14428999999996</v>
      </c>
      <c r="I1206">
        <f t="shared" si="72"/>
        <v>0.11204704805350077</v>
      </c>
      <c r="J1206">
        <f t="shared" si="73"/>
        <v>0</v>
      </c>
      <c r="K1206">
        <f t="shared" si="74"/>
        <v>0</v>
      </c>
      <c r="L1206">
        <f t="shared" si="75"/>
        <v>0</v>
      </c>
    </row>
    <row r="1207" spans="1:12" x14ac:dyDescent="0.35">
      <c r="A1207" s="1" t="s">
        <v>49</v>
      </c>
      <c r="B1207">
        <v>0.41782808399999999</v>
      </c>
      <c r="C1207">
        <v>3.2192000000000002E-3</v>
      </c>
      <c r="D1207">
        <v>0</v>
      </c>
      <c r="E1207">
        <v>0</v>
      </c>
      <c r="F1207">
        <v>0</v>
      </c>
      <c r="G1207">
        <v>605.56212000000005</v>
      </c>
      <c r="I1207">
        <f t="shared" si="72"/>
        <v>0.15419875865034546</v>
      </c>
      <c r="J1207">
        <f t="shared" si="73"/>
        <v>0</v>
      </c>
      <c r="K1207">
        <f t="shared" si="74"/>
        <v>0</v>
      </c>
      <c r="L1207">
        <f t="shared" si="75"/>
        <v>0</v>
      </c>
    </row>
    <row r="1208" spans="1:12" x14ac:dyDescent="0.35">
      <c r="A1208" s="1" t="s">
        <v>50</v>
      </c>
      <c r="B1208">
        <v>0.41782827500000003</v>
      </c>
      <c r="C1208">
        <v>4.1392E-3</v>
      </c>
      <c r="D1208">
        <v>0</v>
      </c>
      <c r="E1208">
        <v>0</v>
      </c>
      <c r="F1208">
        <v>0</v>
      </c>
      <c r="G1208">
        <v>605.97995000000003</v>
      </c>
      <c r="I1208">
        <f t="shared" si="72"/>
        <v>0.19826640470947862</v>
      </c>
      <c r="J1208">
        <f t="shared" si="73"/>
        <v>0</v>
      </c>
      <c r="K1208">
        <f t="shared" si="74"/>
        <v>0</v>
      </c>
      <c r="L1208">
        <f t="shared" si="75"/>
        <v>0</v>
      </c>
    </row>
    <row r="1209" spans="1:12" x14ac:dyDescent="0.35">
      <c r="A1209" s="1" t="s">
        <v>51</v>
      </c>
      <c r="B1209">
        <v>0.41782864199999997</v>
      </c>
      <c r="C1209">
        <v>5.4992000000000001E-3</v>
      </c>
      <c r="D1209">
        <v>0</v>
      </c>
      <c r="E1209">
        <v>0</v>
      </c>
      <c r="F1209">
        <v>0</v>
      </c>
      <c r="G1209">
        <v>606.39778000000001</v>
      </c>
      <c r="I1209">
        <f t="shared" si="72"/>
        <v>0.26340975432619773</v>
      </c>
      <c r="J1209">
        <f t="shared" si="73"/>
        <v>0</v>
      </c>
      <c r="K1209">
        <f t="shared" si="74"/>
        <v>0</v>
      </c>
      <c r="L1209">
        <f t="shared" si="75"/>
        <v>0</v>
      </c>
    </row>
    <row r="1210" spans="1:12" x14ac:dyDescent="0.35">
      <c r="A1210" s="1" t="s">
        <v>52</v>
      </c>
      <c r="B1210">
        <v>0.41783028900000002</v>
      </c>
      <c r="C1210">
        <v>9.4690999999999994E-3</v>
      </c>
      <c r="D1210">
        <v>0</v>
      </c>
      <c r="E1210">
        <v>0</v>
      </c>
      <c r="F1210">
        <v>0</v>
      </c>
      <c r="G1210">
        <v>606.81560999999999</v>
      </c>
      <c r="I1210">
        <f t="shared" si="72"/>
        <v>0.45356478630764774</v>
      </c>
      <c r="J1210">
        <f t="shared" si="73"/>
        <v>0</v>
      </c>
      <c r="K1210">
        <f t="shared" si="74"/>
        <v>0</v>
      </c>
      <c r="L1210">
        <f t="shared" si="75"/>
        <v>0</v>
      </c>
    </row>
    <row r="1211" spans="1:12" x14ac:dyDescent="0.35">
      <c r="A1211" s="1" t="s">
        <v>87</v>
      </c>
      <c r="B1211">
        <v>0.16200000000000001</v>
      </c>
      <c r="C1211">
        <v>0</v>
      </c>
      <c r="D1211">
        <v>-2.8698264299999998</v>
      </c>
      <c r="E1211">
        <v>0</v>
      </c>
      <c r="F1211">
        <v>0</v>
      </c>
      <c r="G1211">
        <v>607.02461000000005</v>
      </c>
      <c r="I1211">
        <f t="shared" si="72"/>
        <v>0</v>
      </c>
      <c r="J1211">
        <f t="shared" si="73"/>
        <v>-57.436263181619168</v>
      </c>
      <c r="K1211">
        <f t="shared" si="74"/>
        <v>0</v>
      </c>
      <c r="L1211">
        <f t="shared" si="75"/>
        <v>0</v>
      </c>
    </row>
    <row r="1212" spans="1:12" x14ac:dyDescent="0.35">
      <c r="A1212" s="1" t="s">
        <v>54</v>
      </c>
      <c r="B1212">
        <v>0.1</v>
      </c>
      <c r="C1212">
        <v>0</v>
      </c>
      <c r="D1212">
        <v>0</v>
      </c>
      <c r="E1212">
        <v>0</v>
      </c>
      <c r="F1212">
        <v>0</v>
      </c>
      <c r="G1212">
        <v>607.35460999999998</v>
      </c>
      <c r="I1212">
        <f t="shared" si="72"/>
        <v>0</v>
      </c>
      <c r="J1212">
        <f t="shared" si="73"/>
        <v>0</v>
      </c>
      <c r="K1212">
        <f t="shared" si="74"/>
        <v>0</v>
      </c>
      <c r="L1212">
        <f t="shared" si="75"/>
        <v>0</v>
      </c>
    </row>
    <row r="1213" spans="1:12" x14ac:dyDescent="0.35">
      <c r="A1213" s="1" t="s">
        <v>88</v>
      </c>
      <c r="B1213">
        <v>0.29499999999999998</v>
      </c>
      <c r="C1213">
        <v>0</v>
      </c>
      <c r="D1213">
        <v>2.43875777</v>
      </c>
      <c r="E1213">
        <v>0</v>
      </c>
      <c r="F1213">
        <v>0</v>
      </c>
      <c r="G1213">
        <v>607.75960999999995</v>
      </c>
      <c r="I1213">
        <f t="shared" si="72"/>
        <v>0</v>
      </c>
      <c r="J1213">
        <f t="shared" si="73"/>
        <v>48.808921560436907</v>
      </c>
      <c r="K1213">
        <f t="shared" si="74"/>
        <v>0</v>
      </c>
      <c r="L1213">
        <f t="shared" si="75"/>
        <v>0</v>
      </c>
    </row>
    <row r="1214" spans="1:12" x14ac:dyDescent="0.35">
      <c r="A1214" s="1" t="s">
        <v>56</v>
      </c>
      <c r="B1214">
        <v>0.29499999999999998</v>
      </c>
      <c r="C1214">
        <v>0</v>
      </c>
      <c r="D1214">
        <v>2.43875777</v>
      </c>
      <c r="E1214">
        <v>0</v>
      </c>
      <c r="F1214">
        <v>0</v>
      </c>
      <c r="G1214">
        <v>613.63275999999996</v>
      </c>
      <c r="I1214">
        <f t="shared" si="72"/>
        <v>0</v>
      </c>
      <c r="J1214">
        <f t="shared" si="73"/>
        <v>48.808921560436907</v>
      </c>
      <c r="K1214">
        <f t="shared" si="74"/>
        <v>0</v>
      </c>
      <c r="L1214">
        <f t="shared" si="75"/>
        <v>0</v>
      </c>
    </row>
    <row r="1215" spans="1:12" x14ac:dyDescent="0.35">
      <c r="A1215" s="1" t="s">
        <v>2</v>
      </c>
      <c r="B1215">
        <v>0.1</v>
      </c>
      <c r="C1215">
        <v>0</v>
      </c>
      <c r="D1215">
        <v>0</v>
      </c>
      <c r="E1215">
        <v>0</v>
      </c>
      <c r="F1215">
        <v>0</v>
      </c>
      <c r="G1215">
        <v>613.84276</v>
      </c>
      <c r="I1215">
        <f t="shared" si="72"/>
        <v>0</v>
      </c>
      <c r="J1215">
        <f t="shared" si="73"/>
        <v>0</v>
      </c>
      <c r="K1215">
        <f t="shared" si="74"/>
        <v>0</v>
      </c>
      <c r="L1215">
        <f t="shared" si="75"/>
        <v>0</v>
      </c>
    </row>
    <row r="1216" spans="1:12" x14ac:dyDescent="0.35">
      <c r="A1216" s="1" t="s">
        <v>57</v>
      </c>
      <c r="B1216">
        <v>0.16200000000000001</v>
      </c>
      <c r="C1216">
        <v>0</v>
      </c>
      <c r="D1216">
        <v>-2.8698264299999998</v>
      </c>
      <c r="E1216">
        <v>0</v>
      </c>
      <c r="F1216">
        <v>0</v>
      </c>
      <c r="G1216">
        <v>614.23476000000005</v>
      </c>
      <c r="I1216">
        <f t="shared" si="72"/>
        <v>0</v>
      </c>
      <c r="J1216">
        <f t="shared" si="73"/>
        <v>-57.436263181619168</v>
      </c>
      <c r="K1216">
        <f t="shared" si="74"/>
        <v>0</v>
      </c>
      <c r="L1216">
        <f t="shared" si="75"/>
        <v>0</v>
      </c>
    </row>
    <row r="1217" spans="1:12" x14ac:dyDescent="0.35">
      <c r="A1217" s="1" t="s">
        <v>58</v>
      </c>
      <c r="B1217">
        <v>0.41783028900000002</v>
      </c>
      <c r="C1217">
        <v>9.4690999999999994E-3</v>
      </c>
      <c r="D1217">
        <v>0</v>
      </c>
      <c r="E1217">
        <v>0</v>
      </c>
      <c r="F1217">
        <v>0</v>
      </c>
      <c r="G1217">
        <v>614.69958999999994</v>
      </c>
      <c r="I1217">
        <f t="shared" si="72"/>
        <v>0.45356478630764774</v>
      </c>
      <c r="J1217">
        <f t="shared" si="73"/>
        <v>0</v>
      </c>
      <c r="K1217">
        <f t="shared" si="74"/>
        <v>0</v>
      </c>
      <c r="L1217">
        <f t="shared" si="75"/>
        <v>0</v>
      </c>
    </row>
    <row r="1218" spans="1:12" x14ac:dyDescent="0.35">
      <c r="A1218" s="1" t="s">
        <v>59</v>
      </c>
      <c r="B1218">
        <v>0.41782864199999997</v>
      </c>
      <c r="C1218">
        <v>5.4992000000000001E-3</v>
      </c>
      <c r="D1218">
        <v>0</v>
      </c>
      <c r="E1218">
        <v>0</v>
      </c>
      <c r="F1218">
        <v>0</v>
      </c>
      <c r="G1218">
        <v>615.11742000000004</v>
      </c>
      <c r="I1218">
        <f t="shared" si="72"/>
        <v>0.26340975432619773</v>
      </c>
      <c r="J1218">
        <f t="shared" si="73"/>
        <v>0</v>
      </c>
      <c r="K1218">
        <f t="shared" si="74"/>
        <v>0</v>
      </c>
      <c r="L1218">
        <f t="shared" si="75"/>
        <v>0</v>
      </c>
    </row>
    <row r="1219" spans="1:12" x14ac:dyDescent="0.35">
      <c r="A1219" s="1" t="s">
        <v>60</v>
      </c>
      <c r="B1219">
        <v>0.41782827500000003</v>
      </c>
      <c r="C1219">
        <v>4.1392E-3</v>
      </c>
      <c r="D1219">
        <v>0</v>
      </c>
      <c r="E1219">
        <v>0</v>
      </c>
      <c r="F1219">
        <v>0</v>
      </c>
      <c r="G1219">
        <v>615.53525000000002</v>
      </c>
      <c r="I1219">
        <f t="shared" si="72"/>
        <v>0.19826640470947862</v>
      </c>
      <c r="J1219">
        <f t="shared" si="73"/>
        <v>0</v>
      </c>
      <c r="K1219">
        <f t="shared" si="74"/>
        <v>0</v>
      </c>
      <c r="L1219">
        <f t="shared" si="75"/>
        <v>0</v>
      </c>
    </row>
    <row r="1220" spans="1:12" x14ac:dyDescent="0.35">
      <c r="A1220" s="1" t="s">
        <v>61</v>
      </c>
      <c r="B1220">
        <v>0.41782808399999999</v>
      </c>
      <c r="C1220">
        <v>3.2192000000000002E-3</v>
      </c>
      <c r="D1220">
        <v>0</v>
      </c>
      <c r="E1220">
        <v>0</v>
      </c>
      <c r="F1220">
        <v>0</v>
      </c>
      <c r="G1220">
        <v>615.95308</v>
      </c>
      <c r="I1220">
        <f t="shared" ref="I1220:I1283" si="76">$H$2*$C1220/$B1220</f>
        <v>0.15419875865034546</v>
      </c>
      <c r="J1220">
        <f t="shared" ref="J1220:J1283" si="77">$H$2*$D1220</f>
        <v>0</v>
      </c>
      <c r="K1220">
        <f t="shared" ref="K1220:K1283" si="78">$H$2*$E1220</f>
        <v>0</v>
      </c>
      <c r="L1220">
        <f t="shared" ref="L1220:L1283" si="79">$H$2*$F1220</f>
        <v>0</v>
      </c>
    </row>
    <row r="1221" spans="1:12" x14ac:dyDescent="0.35">
      <c r="A1221" s="1" t="s">
        <v>62</v>
      </c>
      <c r="B1221">
        <v>0.41782794400000001</v>
      </c>
      <c r="C1221">
        <v>2.3392E-3</v>
      </c>
      <c r="D1221">
        <v>0</v>
      </c>
      <c r="E1221">
        <v>0</v>
      </c>
      <c r="F1221">
        <v>0</v>
      </c>
      <c r="G1221">
        <v>616.37090000000001</v>
      </c>
      <c r="I1221">
        <f t="shared" si="76"/>
        <v>0.11204704805350077</v>
      </c>
      <c r="J1221">
        <f t="shared" si="77"/>
        <v>0</v>
      </c>
      <c r="K1221">
        <f t="shared" si="78"/>
        <v>0</v>
      </c>
      <c r="L1221">
        <f t="shared" si="79"/>
        <v>0</v>
      </c>
    </row>
    <row r="1222" spans="1:12" x14ac:dyDescent="0.35">
      <c r="A1222" s="1" t="s">
        <v>63</v>
      </c>
      <c r="B1222">
        <v>0.21199999999999999</v>
      </c>
      <c r="C1222">
        <v>0</v>
      </c>
      <c r="D1222">
        <v>-2.3709669899999999</v>
      </c>
      <c r="E1222">
        <v>0</v>
      </c>
      <c r="F1222">
        <v>0</v>
      </c>
      <c r="G1222">
        <v>616.62990000000002</v>
      </c>
      <c r="I1222">
        <f t="shared" si="76"/>
        <v>0</v>
      </c>
      <c r="J1222">
        <f t="shared" si="77"/>
        <v>-47.452167353748784</v>
      </c>
      <c r="K1222">
        <f t="shared" si="78"/>
        <v>0</v>
      </c>
      <c r="L1222">
        <f t="shared" si="79"/>
        <v>0</v>
      </c>
    </row>
    <row r="1223" spans="1:12" x14ac:dyDescent="0.35">
      <c r="A1223" s="1" t="s">
        <v>64</v>
      </c>
      <c r="B1223">
        <v>0.16600000000000001</v>
      </c>
      <c r="C1223">
        <v>0</v>
      </c>
      <c r="D1223">
        <v>0</v>
      </c>
      <c r="E1223">
        <v>-132.861086</v>
      </c>
      <c r="F1223">
        <v>0</v>
      </c>
      <c r="G1223">
        <v>616.87090000000001</v>
      </c>
      <c r="I1223">
        <f t="shared" si="76"/>
        <v>0</v>
      </c>
      <c r="J1223">
        <f t="shared" si="77"/>
        <v>0</v>
      </c>
      <c r="K1223">
        <f t="shared" si="78"/>
        <v>-2659.0612666744933</v>
      </c>
      <c r="L1223">
        <f t="shared" si="79"/>
        <v>0</v>
      </c>
    </row>
    <row r="1224" spans="1:12" x14ac:dyDescent="0.35">
      <c r="A1224" s="1" t="s">
        <v>65</v>
      </c>
      <c r="B1224">
        <v>0.21199999999999999</v>
      </c>
      <c r="C1224">
        <v>0</v>
      </c>
      <c r="D1224">
        <v>2.47240752</v>
      </c>
      <c r="E1224">
        <v>0</v>
      </c>
      <c r="F1224">
        <v>0</v>
      </c>
      <c r="G1224">
        <v>617.68376000000001</v>
      </c>
      <c r="I1224">
        <f t="shared" si="76"/>
        <v>0</v>
      </c>
      <c r="J1224">
        <f t="shared" si="77"/>
        <v>49.48238246273813</v>
      </c>
      <c r="K1224">
        <f t="shared" si="78"/>
        <v>0</v>
      </c>
      <c r="L1224">
        <f t="shared" si="79"/>
        <v>0</v>
      </c>
    </row>
    <row r="1225" spans="1:12" x14ac:dyDescent="0.35">
      <c r="A1225" s="1" t="s">
        <v>66</v>
      </c>
      <c r="B1225">
        <v>0.1</v>
      </c>
      <c r="C1225">
        <v>0</v>
      </c>
      <c r="D1225">
        <v>0</v>
      </c>
      <c r="E1225">
        <v>172.62799999999999</v>
      </c>
      <c r="F1225">
        <v>0</v>
      </c>
      <c r="G1225">
        <v>617.85875999999996</v>
      </c>
      <c r="I1225">
        <f t="shared" si="76"/>
        <v>0</v>
      </c>
      <c r="J1225">
        <f t="shared" si="77"/>
        <v>0</v>
      </c>
      <c r="K1225">
        <f t="shared" si="78"/>
        <v>3454.9501450220296</v>
      </c>
      <c r="L1225">
        <f t="shared" si="79"/>
        <v>0</v>
      </c>
    </row>
    <row r="1226" spans="1:12" x14ac:dyDescent="0.35">
      <c r="A1226" s="1" t="s">
        <v>66</v>
      </c>
      <c r="B1226">
        <v>0.1</v>
      </c>
      <c r="C1226">
        <v>0</v>
      </c>
      <c r="D1226">
        <v>0</v>
      </c>
      <c r="E1226">
        <v>172.62799999999999</v>
      </c>
      <c r="F1226">
        <v>0</v>
      </c>
      <c r="G1226">
        <f>617.85876+0.1</f>
        <v>617.95875999999998</v>
      </c>
      <c r="I1226">
        <f t="shared" si="76"/>
        <v>0</v>
      </c>
      <c r="J1226">
        <f t="shared" si="77"/>
        <v>0</v>
      </c>
      <c r="K1226">
        <f t="shared" si="78"/>
        <v>3454.9501450220296</v>
      </c>
      <c r="L1226">
        <f t="shared" si="79"/>
        <v>0</v>
      </c>
    </row>
    <row r="1227" spans="1:12" x14ac:dyDescent="0.35">
      <c r="A1227" s="1" t="s">
        <v>67</v>
      </c>
      <c r="B1227">
        <v>0.21199999999999999</v>
      </c>
      <c r="C1227">
        <v>0</v>
      </c>
      <c r="D1227">
        <v>2.47240752</v>
      </c>
      <c r="E1227">
        <v>0</v>
      </c>
      <c r="F1227">
        <v>0</v>
      </c>
      <c r="G1227">
        <v>618.24576000000002</v>
      </c>
      <c r="I1227">
        <f t="shared" si="76"/>
        <v>0</v>
      </c>
      <c r="J1227">
        <f t="shared" si="77"/>
        <v>49.48238246273813</v>
      </c>
      <c r="K1227">
        <f t="shared" si="78"/>
        <v>0</v>
      </c>
      <c r="L1227">
        <f t="shared" si="79"/>
        <v>0</v>
      </c>
    </row>
    <row r="1228" spans="1:12" x14ac:dyDescent="0.35">
      <c r="A1228" s="1" t="s">
        <v>68</v>
      </c>
      <c r="B1228">
        <v>0.09</v>
      </c>
      <c r="C1228">
        <v>0</v>
      </c>
      <c r="D1228">
        <v>0</v>
      </c>
      <c r="E1228">
        <v>0</v>
      </c>
      <c r="F1228">
        <v>-13632</v>
      </c>
      <c r="G1228">
        <v>618.39576</v>
      </c>
      <c r="I1228">
        <f t="shared" si="76"/>
        <v>0</v>
      </c>
      <c r="J1228">
        <f t="shared" si="77"/>
        <v>0</v>
      </c>
      <c r="K1228">
        <f t="shared" si="78"/>
        <v>0</v>
      </c>
      <c r="L1228">
        <f t="shared" si="79"/>
        <v>-272828.74375501258</v>
      </c>
    </row>
    <row r="1229" spans="1:12" x14ac:dyDescent="0.35">
      <c r="A1229" s="1" t="s">
        <v>69</v>
      </c>
      <c r="B1229">
        <v>0.16600000000000001</v>
      </c>
      <c r="C1229">
        <v>0</v>
      </c>
      <c r="D1229">
        <v>0</v>
      </c>
      <c r="E1229">
        <v>-202.23429300000001</v>
      </c>
      <c r="F1229">
        <v>0</v>
      </c>
      <c r="G1229">
        <v>619.01261</v>
      </c>
      <c r="I1229">
        <f t="shared" si="76"/>
        <v>0</v>
      </c>
      <c r="J1229">
        <f t="shared" si="77"/>
        <v>0</v>
      </c>
      <c r="K1229">
        <f t="shared" si="78"/>
        <v>-4047.4859230760812</v>
      </c>
      <c r="L1229">
        <f t="shared" si="79"/>
        <v>0</v>
      </c>
    </row>
    <row r="1230" spans="1:12" x14ac:dyDescent="0.35">
      <c r="A1230" s="1" t="s">
        <v>70</v>
      </c>
      <c r="B1230">
        <v>0.21199999999999999</v>
      </c>
      <c r="C1230">
        <v>0</v>
      </c>
      <c r="D1230">
        <v>-2.53358734</v>
      </c>
      <c r="E1230">
        <v>0</v>
      </c>
      <c r="F1230">
        <v>0</v>
      </c>
      <c r="G1230">
        <v>619.29961000000003</v>
      </c>
      <c r="I1230">
        <f t="shared" si="76"/>
        <v>0</v>
      </c>
      <c r="J1230">
        <f t="shared" si="77"/>
        <v>-50.706825936458621</v>
      </c>
      <c r="K1230">
        <f t="shared" si="78"/>
        <v>0</v>
      </c>
      <c r="L1230">
        <f t="shared" si="79"/>
        <v>0</v>
      </c>
    </row>
    <row r="1231" spans="1:12" x14ac:dyDescent="0.35">
      <c r="A1231" s="1" t="s">
        <v>20</v>
      </c>
      <c r="B1231">
        <v>0.41782794400000001</v>
      </c>
      <c r="C1231">
        <v>2.3392E-3</v>
      </c>
      <c r="D1231">
        <v>0</v>
      </c>
      <c r="E1231">
        <v>0</v>
      </c>
      <c r="F1231">
        <v>0</v>
      </c>
      <c r="G1231">
        <v>619.76444000000004</v>
      </c>
      <c r="I1231">
        <f t="shared" si="76"/>
        <v>0.11204704805350077</v>
      </c>
      <c r="J1231">
        <f t="shared" si="77"/>
        <v>0</v>
      </c>
      <c r="K1231">
        <f t="shared" si="78"/>
        <v>0</v>
      </c>
      <c r="L1231">
        <f t="shared" si="79"/>
        <v>0</v>
      </c>
    </row>
    <row r="1232" spans="1:12" x14ac:dyDescent="0.35">
      <c r="A1232" s="1" t="s">
        <v>21</v>
      </c>
      <c r="B1232">
        <v>0.41782808399999999</v>
      </c>
      <c r="C1232">
        <v>3.2192000000000002E-3</v>
      </c>
      <c r="D1232">
        <v>0</v>
      </c>
      <c r="E1232">
        <v>0</v>
      </c>
      <c r="F1232">
        <v>0</v>
      </c>
      <c r="G1232">
        <v>620.18227000000002</v>
      </c>
      <c r="I1232">
        <f t="shared" si="76"/>
        <v>0.15419875865034546</v>
      </c>
      <c r="J1232">
        <f t="shared" si="77"/>
        <v>0</v>
      </c>
      <c r="K1232">
        <f t="shared" si="78"/>
        <v>0</v>
      </c>
      <c r="L1232">
        <f t="shared" si="79"/>
        <v>0</v>
      </c>
    </row>
    <row r="1233" spans="1:12" x14ac:dyDescent="0.35">
      <c r="A1233" s="1" t="s">
        <v>22</v>
      </c>
      <c r="B1233">
        <v>0.41782827500000003</v>
      </c>
      <c r="C1233">
        <v>4.1392E-3</v>
      </c>
      <c r="D1233">
        <v>0</v>
      </c>
      <c r="E1233">
        <v>0</v>
      </c>
      <c r="F1233">
        <v>0</v>
      </c>
      <c r="G1233">
        <v>620.60009000000002</v>
      </c>
      <c r="I1233">
        <f t="shared" si="76"/>
        <v>0.19826640470947862</v>
      </c>
      <c r="J1233">
        <f t="shared" si="77"/>
        <v>0</v>
      </c>
      <c r="K1233">
        <f t="shared" si="78"/>
        <v>0</v>
      </c>
      <c r="L1233">
        <f t="shared" si="79"/>
        <v>0</v>
      </c>
    </row>
    <row r="1234" spans="1:12" x14ac:dyDescent="0.35">
      <c r="A1234" s="1" t="s">
        <v>23</v>
      </c>
      <c r="B1234">
        <v>0.41782864199999997</v>
      </c>
      <c r="C1234">
        <v>5.4992000000000001E-3</v>
      </c>
      <c r="D1234">
        <v>0</v>
      </c>
      <c r="E1234">
        <v>0</v>
      </c>
      <c r="F1234">
        <v>0</v>
      </c>
      <c r="G1234">
        <v>621.01792</v>
      </c>
      <c r="I1234">
        <f t="shared" si="76"/>
        <v>0.26340975432619773</v>
      </c>
      <c r="J1234">
        <f t="shared" si="77"/>
        <v>0</v>
      </c>
      <c r="K1234">
        <f t="shared" si="78"/>
        <v>0</v>
      </c>
      <c r="L1234">
        <f t="shared" si="79"/>
        <v>0</v>
      </c>
    </row>
    <row r="1235" spans="1:12" x14ac:dyDescent="0.35">
      <c r="A1235" s="1" t="s">
        <v>24</v>
      </c>
      <c r="B1235">
        <v>0.41782941899999998</v>
      </c>
      <c r="C1235">
        <v>7.6290999999999998E-3</v>
      </c>
      <c r="D1235">
        <v>0</v>
      </c>
      <c r="E1235">
        <v>0</v>
      </c>
      <c r="F1235">
        <v>0</v>
      </c>
      <c r="G1235">
        <v>621.43574999999998</v>
      </c>
      <c r="I1235">
        <f t="shared" si="76"/>
        <v>0.36543053893202671</v>
      </c>
      <c r="J1235">
        <f t="shared" si="77"/>
        <v>0</v>
      </c>
      <c r="K1235">
        <f t="shared" si="78"/>
        <v>0</v>
      </c>
      <c r="L1235">
        <f t="shared" si="79"/>
        <v>0</v>
      </c>
    </row>
    <row r="1236" spans="1:12" x14ac:dyDescent="0.35">
      <c r="A1236" s="1" t="s">
        <v>71</v>
      </c>
      <c r="B1236">
        <v>0.3745</v>
      </c>
      <c r="C1236">
        <v>0</v>
      </c>
      <c r="D1236">
        <v>4.5116622</v>
      </c>
      <c r="E1236">
        <v>0</v>
      </c>
      <c r="F1236">
        <v>0</v>
      </c>
      <c r="G1236">
        <v>621.96024999999997</v>
      </c>
      <c r="I1236">
        <f t="shared" si="76"/>
        <v>0</v>
      </c>
      <c r="J1236">
        <f t="shared" si="77"/>
        <v>90.29571084748946</v>
      </c>
      <c r="K1236">
        <f t="shared" si="78"/>
        <v>0</v>
      </c>
      <c r="L1236">
        <f t="shared" si="79"/>
        <v>0</v>
      </c>
    </row>
    <row r="1237" spans="1:12" x14ac:dyDescent="0.35">
      <c r="A1237" s="1" t="s">
        <v>72</v>
      </c>
      <c r="B1237">
        <v>1.0280365199999999</v>
      </c>
      <c r="C1237">
        <v>2.4767999999999998E-2</v>
      </c>
      <c r="D1237">
        <v>-1.929</v>
      </c>
      <c r="E1237">
        <v>0</v>
      </c>
      <c r="F1237">
        <v>0</v>
      </c>
      <c r="G1237">
        <v>623.07829000000004</v>
      </c>
      <c r="I1237">
        <f t="shared" si="76"/>
        <v>0.48218416286837618</v>
      </c>
      <c r="J1237">
        <f t="shared" si="77"/>
        <v>-38.606708238220314</v>
      </c>
      <c r="K1237">
        <f t="shared" si="78"/>
        <v>0</v>
      </c>
      <c r="L1237">
        <f t="shared" si="79"/>
        <v>0</v>
      </c>
    </row>
    <row r="1238" spans="1:12" x14ac:dyDescent="0.35">
      <c r="A1238" s="1" t="s">
        <v>73</v>
      </c>
      <c r="B1238">
        <v>0.4975</v>
      </c>
      <c r="C1238">
        <v>0</v>
      </c>
      <c r="D1238">
        <v>4.61414189</v>
      </c>
      <c r="E1238">
        <v>0</v>
      </c>
      <c r="F1238">
        <v>0</v>
      </c>
      <c r="G1238">
        <v>623.66579000000002</v>
      </c>
      <c r="I1238">
        <f t="shared" si="76"/>
        <v>0</v>
      </c>
      <c r="J1238">
        <f t="shared" si="77"/>
        <v>92.346723544313335</v>
      </c>
      <c r="K1238">
        <f t="shared" si="78"/>
        <v>0</v>
      </c>
      <c r="L1238">
        <f t="shared" si="79"/>
        <v>0</v>
      </c>
    </row>
    <row r="1239" spans="1:12" x14ac:dyDescent="0.35">
      <c r="A1239" s="1" t="s">
        <v>28</v>
      </c>
      <c r="B1239">
        <v>0.1</v>
      </c>
      <c r="C1239">
        <v>0</v>
      </c>
      <c r="D1239">
        <v>0</v>
      </c>
      <c r="E1239">
        <v>0</v>
      </c>
      <c r="F1239">
        <v>0</v>
      </c>
      <c r="G1239">
        <v>623.83686</v>
      </c>
      <c r="I1239">
        <f t="shared" si="76"/>
        <v>0</v>
      </c>
      <c r="J1239">
        <f t="shared" si="77"/>
        <v>0</v>
      </c>
      <c r="K1239">
        <f t="shared" si="78"/>
        <v>0</v>
      </c>
      <c r="L1239">
        <f t="shared" si="79"/>
        <v>0</v>
      </c>
    </row>
    <row r="1240" spans="1:12" x14ac:dyDescent="0.35">
      <c r="A1240" s="1" t="s">
        <v>74</v>
      </c>
      <c r="B1240">
        <v>0.40000102700000001</v>
      </c>
      <c r="C1240">
        <v>5.2300999999999997E-3</v>
      </c>
      <c r="D1240">
        <v>-1.5815999999999999</v>
      </c>
      <c r="E1240">
        <v>0</v>
      </c>
      <c r="F1240">
        <v>0</v>
      </c>
      <c r="G1240">
        <v>624.32986000000005</v>
      </c>
      <c r="I1240">
        <f t="shared" si="76"/>
        <v>0.26168536331815889</v>
      </c>
      <c r="J1240">
        <f t="shared" si="77"/>
        <v>-31.653898263125576</v>
      </c>
      <c r="K1240">
        <f t="shared" si="78"/>
        <v>0</v>
      </c>
      <c r="L1240">
        <f t="shared" si="79"/>
        <v>0</v>
      </c>
    </row>
    <row r="1241" spans="1:12" x14ac:dyDescent="0.35">
      <c r="A1241" s="1" t="s">
        <v>30</v>
      </c>
      <c r="B1241">
        <v>2.44294E-2</v>
      </c>
      <c r="C1241">
        <v>1.0499000000000001E-3</v>
      </c>
      <c r="D1241">
        <v>0</v>
      </c>
      <c r="E1241">
        <v>0</v>
      </c>
      <c r="F1241">
        <v>0</v>
      </c>
      <c r="G1241">
        <v>624.42479000000003</v>
      </c>
      <c r="I1241">
        <f t="shared" si="76"/>
        <v>0.8601331402616047</v>
      </c>
      <c r="J1241">
        <f t="shared" si="77"/>
        <v>0</v>
      </c>
      <c r="K1241">
        <f t="shared" si="78"/>
        <v>0</v>
      </c>
      <c r="L1241">
        <f t="shared" si="79"/>
        <v>0</v>
      </c>
    </row>
    <row r="1242" spans="1:12" x14ac:dyDescent="0.35">
      <c r="A1242" s="1" t="s">
        <v>30</v>
      </c>
      <c r="B1242">
        <v>2.44294E-2</v>
      </c>
      <c r="C1242">
        <v>1.0499000000000001E-3</v>
      </c>
      <c r="D1242">
        <v>0</v>
      </c>
      <c r="E1242">
        <v>0</v>
      </c>
      <c r="F1242">
        <v>0</v>
      </c>
      <c r="G1242">
        <f>624.42479+0.0244294</f>
        <v>624.44921940000006</v>
      </c>
      <c r="I1242">
        <f t="shared" si="76"/>
        <v>0.8601331402616047</v>
      </c>
      <c r="J1242">
        <f t="shared" si="77"/>
        <v>0</v>
      </c>
      <c r="K1242">
        <f t="shared" si="78"/>
        <v>0</v>
      </c>
      <c r="L1242">
        <f t="shared" si="79"/>
        <v>0</v>
      </c>
    </row>
    <row r="1243" spans="1:12" x14ac:dyDescent="0.35">
      <c r="A1243" s="1" t="s">
        <v>75</v>
      </c>
      <c r="B1243">
        <v>0.40000102700000001</v>
      </c>
      <c r="C1243">
        <v>5.2300999999999997E-3</v>
      </c>
      <c r="D1243">
        <v>-1.5815999999999999</v>
      </c>
      <c r="E1243">
        <v>0</v>
      </c>
      <c r="F1243">
        <v>0</v>
      </c>
      <c r="G1243">
        <v>624.91971999999998</v>
      </c>
      <c r="I1243">
        <f t="shared" si="76"/>
        <v>0.26168536331815889</v>
      </c>
      <c r="J1243">
        <f t="shared" si="77"/>
        <v>-31.653898263125576</v>
      </c>
      <c r="K1243">
        <f t="shared" si="78"/>
        <v>0</v>
      </c>
      <c r="L1243">
        <f t="shared" si="79"/>
        <v>0</v>
      </c>
    </row>
    <row r="1244" spans="1:12" x14ac:dyDescent="0.35">
      <c r="A1244" s="1" t="s">
        <v>76</v>
      </c>
      <c r="B1244">
        <v>0.4975</v>
      </c>
      <c r="C1244">
        <v>0</v>
      </c>
      <c r="D1244">
        <v>4.61414189</v>
      </c>
      <c r="E1244">
        <v>0</v>
      </c>
      <c r="F1244">
        <v>0</v>
      </c>
      <c r="G1244">
        <v>625.68128999999999</v>
      </c>
      <c r="I1244">
        <f t="shared" si="76"/>
        <v>0</v>
      </c>
      <c r="J1244">
        <f t="shared" si="77"/>
        <v>92.346723544313335</v>
      </c>
      <c r="K1244">
        <f t="shared" si="78"/>
        <v>0</v>
      </c>
      <c r="L1244">
        <f t="shared" si="79"/>
        <v>0</v>
      </c>
    </row>
    <row r="1245" spans="1:12" x14ac:dyDescent="0.35">
      <c r="A1245" s="1" t="s">
        <v>77</v>
      </c>
      <c r="B1245">
        <v>1.0280365199999999</v>
      </c>
      <c r="C1245">
        <v>2.4767999999999998E-2</v>
      </c>
      <c r="D1245">
        <v>-1.929</v>
      </c>
      <c r="E1245">
        <v>0</v>
      </c>
      <c r="F1245">
        <v>0</v>
      </c>
      <c r="G1245">
        <v>626.79933000000005</v>
      </c>
      <c r="I1245">
        <f t="shared" si="76"/>
        <v>0.48218416286837618</v>
      </c>
      <c r="J1245">
        <f t="shared" si="77"/>
        <v>-38.606708238220314</v>
      </c>
      <c r="K1245">
        <f t="shared" si="78"/>
        <v>0</v>
      </c>
      <c r="L1245">
        <f t="shared" si="79"/>
        <v>0</v>
      </c>
    </row>
    <row r="1246" spans="1:12" x14ac:dyDescent="0.35">
      <c r="A1246" s="1" t="s">
        <v>78</v>
      </c>
      <c r="B1246">
        <v>0.3745</v>
      </c>
      <c r="C1246">
        <v>0</v>
      </c>
      <c r="D1246">
        <v>4.5116622</v>
      </c>
      <c r="E1246">
        <v>0</v>
      </c>
      <c r="F1246">
        <v>0</v>
      </c>
      <c r="G1246">
        <v>627.26382999999998</v>
      </c>
      <c r="I1246">
        <f t="shared" si="76"/>
        <v>0</v>
      </c>
      <c r="J1246">
        <f t="shared" si="77"/>
        <v>90.29571084748946</v>
      </c>
      <c r="K1246">
        <f t="shared" si="78"/>
        <v>0</v>
      </c>
      <c r="L1246">
        <f t="shared" si="79"/>
        <v>0</v>
      </c>
    </row>
    <row r="1247" spans="1:12" x14ac:dyDescent="0.35">
      <c r="A1247" s="1" t="s">
        <v>35</v>
      </c>
      <c r="B1247">
        <v>0.41782941899999998</v>
      </c>
      <c r="C1247">
        <v>7.6290999999999998E-3</v>
      </c>
      <c r="D1247">
        <v>0</v>
      </c>
      <c r="E1247">
        <v>0</v>
      </c>
      <c r="F1247">
        <v>0</v>
      </c>
      <c r="G1247">
        <v>627.83166000000006</v>
      </c>
      <c r="I1247">
        <f t="shared" si="76"/>
        <v>0.36543053893202671</v>
      </c>
      <c r="J1247">
        <f t="shared" si="77"/>
        <v>0</v>
      </c>
      <c r="K1247">
        <f t="shared" si="78"/>
        <v>0</v>
      </c>
      <c r="L1247">
        <f t="shared" si="79"/>
        <v>0</v>
      </c>
    </row>
    <row r="1248" spans="1:12" x14ac:dyDescent="0.35">
      <c r="A1248" s="1" t="s">
        <v>36</v>
      </c>
      <c r="B1248">
        <v>0.41782864199999997</v>
      </c>
      <c r="C1248">
        <v>5.4992000000000001E-3</v>
      </c>
      <c r="D1248">
        <v>0</v>
      </c>
      <c r="E1248">
        <v>0</v>
      </c>
      <c r="F1248">
        <v>0</v>
      </c>
      <c r="G1248">
        <v>628.24949000000004</v>
      </c>
      <c r="I1248">
        <f t="shared" si="76"/>
        <v>0.26340975432619773</v>
      </c>
      <c r="J1248">
        <f t="shared" si="77"/>
        <v>0</v>
      </c>
      <c r="K1248">
        <f t="shared" si="78"/>
        <v>0</v>
      </c>
      <c r="L1248">
        <f t="shared" si="79"/>
        <v>0</v>
      </c>
    </row>
    <row r="1249" spans="1:12" x14ac:dyDescent="0.35">
      <c r="A1249" s="1" t="s">
        <v>37</v>
      </c>
      <c r="B1249">
        <v>0.41782827500000003</v>
      </c>
      <c r="C1249">
        <v>4.1392E-3</v>
      </c>
      <c r="D1249">
        <v>0</v>
      </c>
      <c r="E1249">
        <v>0</v>
      </c>
      <c r="F1249">
        <v>0</v>
      </c>
      <c r="G1249">
        <v>628.66731000000004</v>
      </c>
      <c r="I1249">
        <f t="shared" si="76"/>
        <v>0.19826640470947862</v>
      </c>
      <c r="J1249">
        <f t="shared" si="77"/>
        <v>0</v>
      </c>
      <c r="K1249">
        <f t="shared" si="78"/>
        <v>0</v>
      </c>
      <c r="L1249">
        <f t="shared" si="79"/>
        <v>0</v>
      </c>
    </row>
    <row r="1250" spans="1:12" x14ac:dyDescent="0.35">
      <c r="A1250" s="1" t="s">
        <v>38</v>
      </c>
      <c r="B1250">
        <v>0.41782808399999999</v>
      </c>
      <c r="C1250">
        <v>3.2192000000000002E-3</v>
      </c>
      <c r="D1250">
        <v>0</v>
      </c>
      <c r="E1250">
        <v>0</v>
      </c>
      <c r="F1250">
        <v>0</v>
      </c>
      <c r="G1250">
        <v>629.08514000000002</v>
      </c>
      <c r="I1250">
        <f t="shared" si="76"/>
        <v>0.15419875865034546</v>
      </c>
      <c r="J1250">
        <f t="shared" si="77"/>
        <v>0</v>
      </c>
      <c r="K1250">
        <f t="shared" si="78"/>
        <v>0</v>
      </c>
      <c r="L1250">
        <f t="shared" si="79"/>
        <v>0</v>
      </c>
    </row>
    <row r="1251" spans="1:12" x14ac:dyDescent="0.35">
      <c r="A1251" s="1" t="s">
        <v>39</v>
      </c>
      <c r="B1251">
        <v>0.41782794400000001</v>
      </c>
      <c r="C1251">
        <v>2.3392E-3</v>
      </c>
      <c r="D1251">
        <v>0</v>
      </c>
      <c r="E1251">
        <v>0</v>
      </c>
      <c r="F1251">
        <v>0</v>
      </c>
      <c r="G1251">
        <v>629.50297</v>
      </c>
      <c r="I1251">
        <f t="shared" si="76"/>
        <v>0.11204704805350077</v>
      </c>
      <c r="J1251">
        <f t="shared" si="77"/>
        <v>0</v>
      </c>
      <c r="K1251">
        <f t="shared" si="78"/>
        <v>0</v>
      </c>
      <c r="L1251">
        <f t="shared" si="79"/>
        <v>0</v>
      </c>
    </row>
    <row r="1252" spans="1:12" x14ac:dyDescent="0.35">
      <c r="A1252" s="1" t="s">
        <v>79</v>
      </c>
      <c r="B1252">
        <v>0.21199999999999999</v>
      </c>
      <c r="C1252">
        <v>0</v>
      </c>
      <c r="D1252">
        <v>-2.53358734</v>
      </c>
      <c r="E1252">
        <v>0</v>
      </c>
      <c r="F1252">
        <v>0</v>
      </c>
      <c r="G1252">
        <v>629.76197000000002</v>
      </c>
      <c r="I1252">
        <f t="shared" si="76"/>
        <v>0</v>
      </c>
      <c r="J1252">
        <f t="shared" si="77"/>
        <v>-50.706825936458621</v>
      </c>
      <c r="K1252">
        <f t="shared" si="78"/>
        <v>0</v>
      </c>
      <c r="L1252">
        <f t="shared" si="79"/>
        <v>0</v>
      </c>
    </row>
    <row r="1253" spans="1:12" x14ac:dyDescent="0.35">
      <c r="A1253" s="1" t="s">
        <v>80</v>
      </c>
      <c r="B1253">
        <v>0.16600000000000001</v>
      </c>
      <c r="C1253">
        <v>0</v>
      </c>
      <c r="D1253">
        <v>0</v>
      </c>
      <c r="E1253">
        <v>-202.23429300000001</v>
      </c>
      <c r="F1253">
        <v>0</v>
      </c>
      <c r="G1253">
        <v>630.00297</v>
      </c>
      <c r="I1253">
        <f t="shared" si="76"/>
        <v>0</v>
      </c>
      <c r="J1253">
        <f t="shared" si="77"/>
        <v>0</v>
      </c>
      <c r="K1253">
        <f t="shared" si="78"/>
        <v>-4047.4859230760812</v>
      </c>
      <c r="L1253">
        <f t="shared" si="79"/>
        <v>0</v>
      </c>
    </row>
    <row r="1254" spans="1:12" x14ac:dyDescent="0.35">
      <c r="A1254" s="1" t="s">
        <v>81</v>
      </c>
      <c r="B1254">
        <v>0.09</v>
      </c>
      <c r="C1254">
        <v>0</v>
      </c>
      <c r="D1254">
        <v>0</v>
      </c>
      <c r="E1254">
        <v>0</v>
      </c>
      <c r="F1254">
        <v>-13632</v>
      </c>
      <c r="G1254">
        <v>630.54381999999998</v>
      </c>
      <c r="I1254">
        <f t="shared" si="76"/>
        <v>0</v>
      </c>
      <c r="J1254">
        <f t="shared" si="77"/>
        <v>0</v>
      </c>
      <c r="K1254">
        <f t="shared" si="78"/>
        <v>0</v>
      </c>
      <c r="L1254">
        <f t="shared" si="79"/>
        <v>-272828.74375501258</v>
      </c>
    </row>
    <row r="1255" spans="1:12" x14ac:dyDescent="0.35">
      <c r="A1255" s="1" t="s">
        <v>82</v>
      </c>
      <c r="B1255">
        <v>0.21199999999999999</v>
      </c>
      <c r="C1255">
        <v>0</v>
      </c>
      <c r="D1255">
        <v>2.47240752</v>
      </c>
      <c r="E1255">
        <v>0</v>
      </c>
      <c r="F1255">
        <v>0</v>
      </c>
      <c r="G1255">
        <v>630.81582000000003</v>
      </c>
      <c r="I1255">
        <f t="shared" si="76"/>
        <v>0</v>
      </c>
      <c r="J1255">
        <f t="shared" si="77"/>
        <v>49.48238246273813</v>
      </c>
      <c r="K1255">
        <f t="shared" si="78"/>
        <v>0</v>
      </c>
      <c r="L1255">
        <f t="shared" si="79"/>
        <v>0</v>
      </c>
    </row>
    <row r="1256" spans="1:12" x14ac:dyDescent="0.35">
      <c r="A1256" s="1" t="s">
        <v>83</v>
      </c>
      <c r="B1256">
        <v>0.1</v>
      </c>
      <c r="C1256">
        <v>0</v>
      </c>
      <c r="D1256">
        <v>0</v>
      </c>
      <c r="E1256">
        <v>172.62799999999999</v>
      </c>
      <c r="F1256">
        <v>0</v>
      </c>
      <c r="G1256">
        <v>630.99081999999999</v>
      </c>
      <c r="I1256">
        <f t="shared" si="76"/>
        <v>0</v>
      </c>
      <c r="J1256">
        <f t="shared" si="77"/>
        <v>0</v>
      </c>
      <c r="K1256">
        <f t="shared" si="78"/>
        <v>3454.9501450220296</v>
      </c>
      <c r="L1256">
        <f t="shared" si="79"/>
        <v>0</v>
      </c>
    </row>
    <row r="1257" spans="1:12" x14ac:dyDescent="0.35">
      <c r="A1257" s="1" t="s">
        <v>83</v>
      </c>
      <c r="B1257">
        <v>0.1</v>
      </c>
      <c r="C1257">
        <v>0</v>
      </c>
      <c r="D1257">
        <v>0</v>
      </c>
      <c r="E1257">
        <v>172.62799999999999</v>
      </c>
      <c r="F1257">
        <v>0</v>
      </c>
      <c r="G1257">
        <f>0.1+630.99082</f>
        <v>631.09082000000001</v>
      </c>
      <c r="I1257">
        <f t="shared" si="76"/>
        <v>0</v>
      </c>
      <c r="J1257">
        <f t="shared" si="77"/>
        <v>0</v>
      </c>
      <c r="K1257">
        <f t="shared" si="78"/>
        <v>3454.9501450220296</v>
      </c>
      <c r="L1257">
        <f t="shared" si="79"/>
        <v>0</v>
      </c>
    </row>
    <row r="1258" spans="1:12" x14ac:dyDescent="0.35">
      <c r="A1258" s="1" t="s">
        <v>84</v>
      </c>
      <c r="B1258">
        <v>0.21199999999999999</v>
      </c>
      <c r="C1258">
        <v>0</v>
      </c>
      <c r="D1258">
        <v>2.47240752</v>
      </c>
      <c r="E1258">
        <v>0</v>
      </c>
      <c r="F1258">
        <v>0</v>
      </c>
      <c r="G1258">
        <v>631.37782000000004</v>
      </c>
      <c r="I1258">
        <f t="shared" si="76"/>
        <v>0</v>
      </c>
      <c r="J1258">
        <f t="shared" si="77"/>
        <v>49.48238246273813</v>
      </c>
      <c r="K1258">
        <f t="shared" si="78"/>
        <v>0</v>
      </c>
      <c r="L1258">
        <f t="shared" si="79"/>
        <v>0</v>
      </c>
    </row>
    <row r="1259" spans="1:12" x14ac:dyDescent="0.35">
      <c r="A1259" s="1" t="s">
        <v>85</v>
      </c>
      <c r="B1259">
        <v>0.16600000000000001</v>
      </c>
      <c r="C1259">
        <v>0</v>
      </c>
      <c r="D1259">
        <v>0</v>
      </c>
      <c r="E1259">
        <v>-132.861086</v>
      </c>
      <c r="F1259">
        <v>0</v>
      </c>
      <c r="G1259">
        <v>632.14467999999999</v>
      </c>
      <c r="I1259">
        <f t="shared" si="76"/>
        <v>0</v>
      </c>
      <c r="J1259">
        <f t="shared" si="77"/>
        <v>0</v>
      </c>
      <c r="K1259">
        <f t="shared" si="78"/>
        <v>-2659.0612666744933</v>
      </c>
      <c r="L1259">
        <f t="shared" si="79"/>
        <v>0</v>
      </c>
    </row>
    <row r="1260" spans="1:12" x14ac:dyDescent="0.35">
      <c r="A1260" s="1" t="s">
        <v>86</v>
      </c>
      <c r="B1260">
        <v>0.21199999999999999</v>
      </c>
      <c r="C1260">
        <v>0</v>
      </c>
      <c r="D1260">
        <v>-2.3709669899999999</v>
      </c>
      <c r="E1260">
        <v>0</v>
      </c>
      <c r="F1260">
        <v>0</v>
      </c>
      <c r="G1260">
        <v>632.43168000000003</v>
      </c>
      <c r="I1260">
        <f t="shared" si="76"/>
        <v>0</v>
      </c>
      <c r="J1260">
        <f t="shared" si="77"/>
        <v>-47.452167353748784</v>
      </c>
      <c r="K1260">
        <f t="shared" si="78"/>
        <v>0</v>
      </c>
      <c r="L1260">
        <f t="shared" si="79"/>
        <v>0</v>
      </c>
    </row>
    <row r="1261" spans="1:12" x14ac:dyDescent="0.35">
      <c r="A1261" s="1" t="s">
        <v>48</v>
      </c>
      <c r="B1261">
        <v>0.41782794400000001</v>
      </c>
      <c r="C1261">
        <v>2.3392E-3</v>
      </c>
      <c r="D1261">
        <v>0</v>
      </c>
      <c r="E1261">
        <v>0</v>
      </c>
      <c r="F1261">
        <v>0</v>
      </c>
      <c r="G1261">
        <v>632.89649999999995</v>
      </c>
      <c r="I1261">
        <f t="shared" si="76"/>
        <v>0.11204704805350077</v>
      </c>
      <c r="J1261">
        <f t="shared" si="77"/>
        <v>0</v>
      </c>
      <c r="K1261">
        <f t="shared" si="78"/>
        <v>0</v>
      </c>
      <c r="L1261">
        <f t="shared" si="79"/>
        <v>0</v>
      </c>
    </row>
    <row r="1262" spans="1:12" x14ac:dyDescent="0.35">
      <c r="A1262" s="1" t="s">
        <v>49</v>
      </c>
      <c r="B1262">
        <v>0.41782808399999999</v>
      </c>
      <c r="C1262">
        <v>3.2192000000000002E-3</v>
      </c>
      <c r="D1262">
        <v>0</v>
      </c>
      <c r="E1262">
        <v>0</v>
      </c>
      <c r="F1262">
        <v>0</v>
      </c>
      <c r="G1262">
        <v>633.31433000000004</v>
      </c>
      <c r="I1262">
        <f t="shared" si="76"/>
        <v>0.15419875865034546</v>
      </c>
      <c r="J1262">
        <f t="shared" si="77"/>
        <v>0</v>
      </c>
      <c r="K1262">
        <f t="shared" si="78"/>
        <v>0</v>
      </c>
      <c r="L1262">
        <f t="shared" si="79"/>
        <v>0</v>
      </c>
    </row>
    <row r="1263" spans="1:12" x14ac:dyDescent="0.35">
      <c r="A1263" s="1" t="s">
        <v>50</v>
      </c>
      <c r="B1263">
        <v>0.41782827500000003</v>
      </c>
      <c r="C1263">
        <v>4.1392E-3</v>
      </c>
      <c r="D1263">
        <v>0</v>
      </c>
      <c r="E1263">
        <v>0</v>
      </c>
      <c r="F1263">
        <v>0</v>
      </c>
      <c r="G1263">
        <v>633.73216000000002</v>
      </c>
      <c r="I1263">
        <f t="shared" si="76"/>
        <v>0.19826640470947862</v>
      </c>
      <c r="J1263">
        <f t="shared" si="77"/>
        <v>0</v>
      </c>
      <c r="K1263">
        <f t="shared" si="78"/>
        <v>0</v>
      </c>
      <c r="L1263">
        <f t="shared" si="79"/>
        <v>0</v>
      </c>
    </row>
    <row r="1264" spans="1:12" x14ac:dyDescent="0.35">
      <c r="A1264" s="1" t="s">
        <v>51</v>
      </c>
      <c r="B1264">
        <v>0.41782864199999997</v>
      </c>
      <c r="C1264">
        <v>5.4992000000000001E-3</v>
      </c>
      <c r="D1264">
        <v>0</v>
      </c>
      <c r="E1264">
        <v>0</v>
      </c>
      <c r="F1264">
        <v>0</v>
      </c>
      <c r="G1264">
        <v>634.14999</v>
      </c>
      <c r="I1264">
        <f t="shared" si="76"/>
        <v>0.26340975432619773</v>
      </c>
      <c r="J1264">
        <f t="shared" si="77"/>
        <v>0</v>
      </c>
      <c r="K1264">
        <f t="shared" si="78"/>
        <v>0</v>
      </c>
      <c r="L1264">
        <f t="shared" si="79"/>
        <v>0</v>
      </c>
    </row>
    <row r="1265" spans="1:12" x14ac:dyDescent="0.35">
      <c r="A1265" s="1" t="s">
        <v>52</v>
      </c>
      <c r="B1265">
        <v>0.41783028900000002</v>
      </c>
      <c r="C1265">
        <v>9.4690999999999994E-3</v>
      </c>
      <c r="D1265">
        <v>0</v>
      </c>
      <c r="E1265">
        <v>0</v>
      </c>
      <c r="F1265">
        <v>0</v>
      </c>
      <c r="G1265">
        <v>634.56781999999998</v>
      </c>
      <c r="I1265">
        <f t="shared" si="76"/>
        <v>0.45356478630764774</v>
      </c>
      <c r="J1265">
        <f t="shared" si="77"/>
        <v>0</v>
      </c>
      <c r="K1265">
        <f t="shared" si="78"/>
        <v>0</v>
      </c>
      <c r="L1265">
        <f t="shared" si="79"/>
        <v>0</v>
      </c>
    </row>
    <row r="1266" spans="1:12" x14ac:dyDescent="0.35">
      <c r="A1266" s="1" t="s">
        <v>87</v>
      </c>
      <c r="B1266">
        <v>0.16200000000000001</v>
      </c>
      <c r="C1266">
        <v>0</v>
      </c>
      <c r="D1266">
        <v>-2.8698264299999998</v>
      </c>
      <c r="E1266">
        <v>0</v>
      </c>
      <c r="F1266">
        <v>0</v>
      </c>
      <c r="G1266">
        <v>634.77682000000004</v>
      </c>
      <c r="I1266">
        <f t="shared" si="76"/>
        <v>0</v>
      </c>
      <c r="J1266">
        <f t="shared" si="77"/>
        <v>-57.436263181619168</v>
      </c>
      <c r="K1266">
        <f t="shared" si="78"/>
        <v>0</v>
      </c>
      <c r="L1266">
        <f t="shared" si="79"/>
        <v>0</v>
      </c>
    </row>
    <row r="1267" spans="1:12" x14ac:dyDescent="0.35">
      <c r="A1267" s="1" t="s">
        <v>54</v>
      </c>
      <c r="B1267">
        <v>0.1</v>
      </c>
      <c r="C1267">
        <v>0</v>
      </c>
      <c r="D1267">
        <v>0</v>
      </c>
      <c r="E1267">
        <v>0</v>
      </c>
      <c r="F1267">
        <v>0</v>
      </c>
      <c r="G1267">
        <v>635.10681999999997</v>
      </c>
      <c r="I1267">
        <f t="shared" si="76"/>
        <v>0</v>
      </c>
      <c r="J1267">
        <f t="shared" si="77"/>
        <v>0</v>
      </c>
      <c r="K1267">
        <f t="shared" si="78"/>
        <v>0</v>
      </c>
      <c r="L1267">
        <f t="shared" si="79"/>
        <v>0</v>
      </c>
    </row>
    <row r="1268" spans="1:12" x14ac:dyDescent="0.35">
      <c r="A1268" s="1" t="s">
        <v>88</v>
      </c>
      <c r="B1268">
        <v>0.29499999999999998</v>
      </c>
      <c r="C1268">
        <v>0</v>
      </c>
      <c r="D1268">
        <v>2.43875777</v>
      </c>
      <c r="E1268">
        <v>0</v>
      </c>
      <c r="F1268">
        <v>0</v>
      </c>
      <c r="G1268">
        <v>635.51181999999994</v>
      </c>
      <c r="I1268">
        <f t="shared" si="76"/>
        <v>0</v>
      </c>
      <c r="J1268">
        <f t="shared" si="77"/>
        <v>48.808921560436907</v>
      </c>
      <c r="K1268">
        <f t="shared" si="78"/>
        <v>0</v>
      </c>
      <c r="L1268">
        <f t="shared" si="79"/>
        <v>0</v>
      </c>
    </row>
    <row r="1269" spans="1:12" x14ac:dyDescent="0.35">
      <c r="A1269" s="1" t="s">
        <v>56</v>
      </c>
      <c r="B1269">
        <v>0.29499999999999998</v>
      </c>
      <c r="C1269">
        <v>0</v>
      </c>
      <c r="D1269">
        <v>2.43875777</v>
      </c>
      <c r="E1269">
        <v>0</v>
      </c>
      <c r="F1269">
        <v>0</v>
      </c>
      <c r="G1269">
        <v>641.38496999999995</v>
      </c>
      <c r="I1269">
        <f t="shared" si="76"/>
        <v>0</v>
      </c>
      <c r="J1269">
        <f t="shared" si="77"/>
        <v>48.808921560436907</v>
      </c>
      <c r="K1269">
        <f t="shared" si="78"/>
        <v>0</v>
      </c>
      <c r="L1269">
        <f t="shared" si="79"/>
        <v>0</v>
      </c>
    </row>
    <row r="1270" spans="1:12" x14ac:dyDescent="0.35">
      <c r="A1270" s="1" t="s">
        <v>2</v>
      </c>
      <c r="B1270">
        <v>0.1</v>
      </c>
      <c r="C1270">
        <v>0</v>
      </c>
      <c r="D1270">
        <v>0</v>
      </c>
      <c r="E1270">
        <v>0</v>
      </c>
      <c r="F1270">
        <v>0</v>
      </c>
      <c r="G1270">
        <v>641.59496999999999</v>
      </c>
      <c r="I1270">
        <f t="shared" si="76"/>
        <v>0</v>
      </c>
      <c r="J1270">
        <f t="shared" si="77"/>
        <v>0</v>
      </c>
      <c r="K1270">
        <f t="shared" si="78"/>
        <v>0</v>
      </c>
      <c r="L1270">
        <f t="shared" si="79"/>
        <v>0</v>
      </c>
    </row>
    <row r="1271" spans="1:12" x14ac:dyDescent="0.35">
      <c r="A1271" s="1" t="s">
        <v>57</v>
      </c>
      <c r="B1271">
        <v>0.16200000000000001</v>
      </c>
      <c r="C1271">
        <v>0</v>
      </c>
      <c r="D1271">
        <v>-2.8698264299999998</v>
      </c>
      <c r="E1271">
        <v>0</v>
      </c>
      <c r="F1271">
        <v>0</v>
      </c>
      <c r="G1271">
        <v>641.98697000000004</v>
      </c>
      <c r="I1271">
        <f t="shared" si="76"/>
        <v>0</v>
      </c>
      <c r="J1271">
        <f t="shared" si="77"/>
        <v>-57.436263181619168</v>
      </c>
      <c r="K1271">
        <f t="shared" si="78"/>
        <v>0</v>
      </c>
      <c r="L1271">
        <f t="shared" si="79"/>
        <v>0</v>
      </c>
    </row>
    <row r="1272" spans="1:12" x14ac:dyDescent="0.35">
      <c r="A1272" s="1" t="s">
        <v>58</v>
      </c>
      <c r="B1272">
        <v>0.41783028900000002</v>
      </c>
      <c r="C1272">
        <v>9.4690999999999994E-3</v>
      </c>
      <c r="D1272">
        <v>0</v>
      </c>
      <c r="E1272">
        <v>0</v>
      </c>
      <c r="F1272">
        <v>0</v>
      </c>
      <c r="G1272">
        <v>642.45180000000005</v>
      </c>
      <c r="I1272">
        <f t="shared" si="76"/>
        <v>0.45356478630764774</v>
      </c>
      <c r="J1272">
        <f t="shared" si="77"/>
        <v>0</v>
      </c>
      <c r="K1272">
        <f t="shared" si="78"/>
        <v>0</v>
      </c>
      <c r="L1272">
        <f t="shared" si="79"/>
        <v>0</v>
      </c>
    </row>
    <row r="1273" spans="1:12" x14ac:dyDescent="0.35">
      <c r="A1273" s="1" t="s">
        <v>59</v>
      </c>
      <c r="B1273">
        <v>0.41782864199999997</v>
      </c>
      <c r="C1273">
        <v>5.4992000000000001E-3</v>
      </c>
      <c r="D1273">
        <v>0</v>
      </c>
      <c r="E1273">
        <v>0</v>
      </c>
      <c r="F1273">
        <v>0</v>
      </c>
      <c r="G1273">
        <v>642.86963000000003</v>
      </c>
      <c r="I1273">
        <f t="shared" si="76"/>
        <v>0.26340975432619773</v>
      </c>
      <c r="J1273">
        <f t="shared" si="77"/>
        <v>0</v>
      </c>
      <c r="K1273">
        <f t="shared" si="78"/>
        <v>0</v>
      </c>
      <c r="L1273">
        <f t="shared" si="79"/>
        <v>0</v>
      </c>
    </row>
    <row r="1274" spans="1:12" x14ac:dyDescent="0.35">
      <c r="A1274" s="1" t="s">
        <v>60</v>
      </c>
      <c r="B1274">
        <v>0.41782827500000003</v>
      </c>
      <c r="C1274">
        <v>4.1392E-3</v>
      </c>
      <c r="D1274">
        <v>0</v>
      </c>
      <c r="E1274">
        <v>0</v>
      </c>
      <c r="F1274">
        <v>0</v>
      </c>
      <c r="G1274">
        <v>643.28746000000001</v>
      </c>
      <c r="I1274">
        <f t="shared" si="76"/>
        <v>0.19826640470947862</v>
      </c>
      <c r="J1274">
        <f t="shared" si="77"/>
        <v>0</v>
      </c>
      <c r="K1274">
        <f t="shared" si="78"/>
        <v>0</v>
      </c>
      <c r="L1274">
        <f t="shared" si="79"/>
        <v>0</v>
      </c>
    </row>
    <row r="1275" spans="1:12" x14ac:dyDescent="0.35">
      <c r="A1275" s="1" t="s">
        <v>61</v>
      </c>
      <c r="B1275">
        <v>0.41782808399999999</v>
      </c>
      <c r="C1275">
        <v>3.2192000000000002E-3</v>
      </c>
      <c r="D1275">
        <v>0</v>
      </c>
      <c r="E1275">
        <v>0</v>
      </c>
      <c r="F1275">
        <v>0</v>
      </c>
      <c r="G1275">
        <v>643.70528999999999</v>
      </c>
      <c r="I1275">
        <f t="shared" si="76"/>
        <v>0.15419875865034546</v>
      </c>
      <c r="J1275">
        <f t="shared" si="77"/>
        <v>0</v>
      </c>
      <c r="K1275">
        <f t="shared" si="78"/>
        <v>0</v>
      </c>
      <c r="L1275">
        <f t="shared" si="79"/>
        <v>0</v>
      </c>
    </row>
    <row r="1276" spans="1:12" x14ac:dyDescent="0.35">
      <c r="A1276" s="1" t="s">
        <v>62</v>
      </c>
      <c r="B1276">
        <v>0.41782794400000001</v>
      </c>
      <c r="C1276">
        <v>2.3392E-3</v>
      </c>
      <c r="D1276">
        <v>0</v>
      </c>
      <c r="E1276">
        <v>0</v>
      </c>
      <c r="F1276">
        <v>0</v>
      </c>
      <c r="G1276">
        <v>644.12311999999997</v>
      </c>
      <c r="I1276">
        <f t="shared" si="76"/>
        <v>0.11204704805350077</v>
      </c>
      <c r="J1276">
        <f t="shared" si="77"/>
        <v>0</v>
      </c>
      <c r="K1276">
        <f t="shared" si="78"/>
        <v>0</v>
      </c>
      <c r="L1276">
        <f t="shared" si="79"/>
        <v>0</v>
      </c>
    </row>
    <row r="1277" spans="1:12" x14ac:dyDescent="0.35">
      <c r="A1277" s="1" t="s">
        <v>63</v>
      </c>
      <c r="B1277">
        <v>0.21199999999999999</v>
      </c>
      <c r="C1277">
        <v>0</v>
      </c>
      <c r="D1277">
        <v>-2.3709669899999999</v>
      </c>
      <c r="E1277">
        <v>0</v>
      </c>
      <c r="F1277">
        <v>0</v>
      </c>
      <c r="G1277">
        <v>644.38211999999999</v>
      </c>
      <c r="I1277">
        <f t="shared" si="76"/>
        <v>0</v>
      </c>
      <c r="J1277">
        <f t="shared" si="77"/>
        <v>-47.452167353748784</v>
      </c>
      <c r="K1277">
        <f t="shared" si="78"/>
        <v>0</v>
      </c>
      <c r="L1277">
        <f t="shared" si="79"/>
        <v>0</v>
      </c>
    </row>
    <row r="1278" spans="1:12" x14ac:dyDescent="0.35">
      <c r="A1278" s="1" t="s">
        <v>64</v>
      </c>
      <c r="B1278">
        <v>0.16600000000000001</v>
      </c>
      <c r="C1278">
        <v>0</v>
      </c>
      <c r="D1278">
        <v>0</v>
      </c>
      <c r="E1278">
        <v>-132.861086</v>
      </c>
      <c r="F1278">
        <v>0</v>
      </c>
      <c r="G1278">
        <v>644.62311999999997</v>
      </c>
      <c r="I1278">
        <f t="shared" si="76"/>
        <v>0</v>
      </c>
      <c r="J1278">
        <f t="shared" si="77"/>
        <v>0</v>
      </c>
      <c r="K1278">
        <f t="shared" si="78"/>
        <v>-2659.0612666744933</v>
      </c>
      <c r="L1278">
        <f t="shared" si="79"/>
        <v>0</v>
      </c>
    </row>
    <row r="1279" spans="1:12" x14ac:dyDescent="0.35">
      <c r="A1279" s="1" t="s">
        <v>65</v>
      </c>
      <c r="B1279">
        <v>0.21199999999999999</v>
      </c>
      <c r="C1279">
        <v>0</v>
      </c>
      <c r="D1279">
        <v>2.47240752</v>
      </c>
      <c r="E1279">
        <v>0</v>
      </c>
      <c r="F1279">
        <v>0</v>
      </c>
      <c r="G1279">
        <v>645.43597</v>
      </c>
      <c r="I1279">
        <f t="shared" si="76"/>
        <v>0</v>
      </c>
      <c r="J1279">
        <f t="shared" si="77"/>
        <v>49.48238246273813</v>
      </c>
      <c r="K1279">
        <f t="shared" si="78"/>
        <v>0</v>
      </c>
      <c r="L1279">
        <f t="shared" si="79"/>
        <v>0</v>
      </c>
    </row>
    <row r="1280" spans="1:12" x14ac:dyDescent="0.35">
      <c r="A1280" s="1" t="s">
        <v>66</v>
      </c>
      <c r="B1280">
        <v>0.1</v>
      </c>
      <c r="C1280">
        <v>0</v>
      </c>
      <c r="D1280">
        <v>0</v>
      </c>
      <c r="E1280">
        <v>172.62799999999999</v>
      </c>
      <c r="F1280">
        <v>0</v>
      </c>
      <c r="G1280">
        <v>645.61096999999995</v>
      </c>
      <c r="I1280">
        <f t="shared" si="76"/>
        <v>0</v>
      </c>
      <c r="J1280">
        <f t="shared" si="77"/>
        <v>0</v>
      </c>
      <c r="K1280">
        <f t="shared" si="78"/>
        <v>3454.9501450220296</v>
      </c>
      <c r="L1280">
        <f t="shared" si="79"/>
        <v>0</v>
      </c>
    </row>
    <row r="1281" spans="1:12" x14ac:dyDescent="0.35">
      <c r="A1281" s="1" t="s">
        <v>66</v>
      </c>
      <c r="B1281">
        <v>0.1</v>
      </c>
      <c r="C1281">
        <v>0</v>
      </c>
      <c r="D1281">
        <v>0</v>
      </c>
      <c r="E1281">
        <v>172.62799999999999</v>
      </c>
      <c r="F1281">
        <v>0</v>
      </c>
      <c r="G1281">
        <f>645.61097+0.1</f>
        <v>645.71096999999997</v>
      </c>
      <c r="I1281">
        <f t="shared" si="76"/>
        <v>0</v>
      </c>
      <c r="J1281">
        <f t="shared" si="77"/>
        <v>0</v>
      </c>
      <c r="K1281">
        <f t="shared" si="78"/>
        <v>3454.9501450220296</v>
      </c>
      <c r="L1281">
        <f t="shared" si="79"/>
        <v>0</v>
      </c>
    </row>
    <row r="1282" spans="1:12" x14ac:dyDescent="0.35">
      <c r="A1282" s="1" t="s">
        <v>67</v>
      </c>
      <c r="B1282">
        <v>0.21199999999999999</v>
      </c>
      <c r="C1282">
        <v>0</v>
      </c>
      <c r="D1282">
        <v>2.47240752</v>
      </c>
      <c r="E1282">
        <v>0</v>
      </c>
      <c r="F1282">
        <v>0</v>
      </c>
      <c r="G1282">
        <v>645.99797000000001</v>
      </c>
      <c r="I1282">
        <f t="shared" si="76"/>
        <v>0</v>
      </c>
      <c r="J1282">
        <f t="shared" si="77"/>
        <v>49.48238246273813</v>
      </c>
      <c r="K1282">
        <f t="shared" si="78"/>
        <v>0</v>
      </c>
      <c r="L1282">
        <f t="shared" si="79"/>
        <v>0</v>
      </c>
    </row>
    <row r="1283" spans="1:12" x14ac:dyDescent="0.35">
      <c r="A1283" s="1" t="s">
        <v>68</v>
      </c>
      <c r="B1283">
        <v>0.09</v>
      </c>
      <c r="C1283">
        <v>0</v>
      </c>
      <c r="D1283">
        <v>0</v>
      </c>
      <c r="E1283">
        <v>0</v>
      </c>
      <c r="F1283">
        <v>-13632</v>
      </c>
      <c r="G1283">
        <v>646.14796999999999</v>
      </c>
      <c r="I1283">
        <f t="shared" si="76"/>
        <v>0</v>
      </c>
      <c r="J1283">
        <f t="shared" si="77"/>
        <v>0</v>
      </c>
      <c r="K1283">
        <f t="shared" si="78"/>
        <v>0</v>
      </c>
      <c r="L1283">
        <f t="shared" si="79"/>
        <v>-272828.74375501258</v>
      </c>
    </row>
    <row r="1284" spans="1:12" x14ac:dyDescent="0.35">
      <c r="A1284" s="1" t="s">
        <v>69</v>
      </c>
      <c r="B1284">
        <v>0.16600000000000001</v>
      </c>
      <c r="C1284">
        <v>0</v>
      </c>
      <c r="D1284">
        <v>0</v>
      </c>
      <c r="E1284">
        <v>-202.23429300000001</v>
      </c>
      <c r="F1284">
        <v>0</v>
      </c>
      <c r="G1284">
        <v>646.76481999999999</v>
      </c>
      <c r="I1284">
        <f t="shared" ref="I1284:I1347" si="80">$H$2*$C1284/$B1284</f>
        <v>0</v>
      </c>
      <c r="J1284">
        <f t="shared" ref="J1284:J1347" si="81">$H$2*$D1284</f>
        <v>0</v>
      </c>
      <c r="K1284">
        <f t="shared" ref="K1284:K1347" si="82">$H$2*$E1284</f>
        <v>-4047.4859230760812</v>
      </c>
      <c r="L1284">
        <f t="shared" ref="L1284:L1347" si="83">$H$2*$F1284</f>
        <v>0</v>
      </c>
    </row>
    <row r="1285" spans="1:12" x14ac:dyDescent="0.35">
      <c r="A1285" s="1" t="s">
        <v>70</v>
      </c>
      <c r="B1285">
        <v>0.21199999999999999</v>
      </c>
      <c r="C1285">
        <v>0</v>
      </c>
      <c r="D1285">
        <v>-2.53358734</v>
      </c>
      <c r="E1285">
        <v>0</v>
      </c>
      <c r="F1285">
        <v>0</v>
      </c>
      <c r="G1285">
        <v>647.05182000000002</v>
      </c>
      <c r="I1285">
        <f t="shared" si="80"/>
        <v>0</v>
      </c>
      <c r="J1285">
        <f t="shared" si="81"/>
        <v>-50.706825936458621</v>
      </c>
      <c r="K1285">
        <f t="shared" si="82"/>
        <v>0</v>
      </c>
      <c r="L1285">
        <f t="shared" si="83"/>
        <v>0</v>
      </c>
    </row>
    <row r="1286" spans="1:12" x14ac:dyDescent="0.35">
      <c r="A1286" s="1" t="s">
        <v>20</v>
      </c>
      <c r="B1286">
        <v>0.41782794400000001</v>
      </c>
      <c r="C1286">
        <v>2.3392E-3</v>
      </c>
      <c r="D1286">
        <v>0</v>
      </c>
      <c r="E1286">
        <v>0</v>
      </c>
      <c r="F1286">
        <v>0</v>
      </c>
      <c r="G1286">
        <v>647.51665000000003</v>
      </c>
      <c r="I1286">
        <f t="shared" si="80"/>
        <v>0.11204704805350077</v>
      </c>
      <c r="J1286">
        <f t="shared" si="81"/>
        <v>0</v>
      </c>
      <c r="K1286">
        <f t="shared" si="82"/>
        <v>0</v>
      </c>
      <c r="L1286">
        <f t="shared" si="83"/>
        <v>0</v>
      </c>
    </row>
    <row r="1287" spans="1:12" x14ac:dyDescent="0.35">
      <c r="A1287" s="1" t="s">
        <v>21</v>
      </c>
      <c r="B1287">
        <v>0.41782808399999999</v>
      </c>
      <c r="C1287">
        <v>3.2192000000000002E-3</v>
      </c>
      <c r="D1287">
        <v>0</v>
      </c>
      <c r="E1287">
        <v>0</v>
      </c>
      <c r="F1287">
        <v>0</v>
      </c>
      <c r="G1287">
        <v>647.93448000000001</v>
      </c>
      <c r="I1287">
        <f t="shared" si="80"/>
        <v>0.15419875865034546</v>
      </c>
      <c r="J1287">
        <f t="shared" si="81"/>
        <v>0</v>
      </c>
      <c r="K1287">
        <f t="shared" si="82"/>
        <v>0</v>
      </c>
      <c r="L1287">
        <f t="shared" si="83"/>
        <v>0</v>
      </c>
    </row>
    <row r="1288" spans="1:12" x14ac:dyDescent="0.35">
      <c r="A1288" s="1" t="s">
        <v>22</v>
      </c>
      <c r="B1288">
        <v>0.41782827500000003</v>
      </c>
      <c r="C1288">
        <v>4.1392E-3</v>
      </c>
      <c r="D1288">
        <v>0</v>
      </c>
      <c r="E1288">
        <v>0</v>
      </c>
      <c r="F1288">
        <v>0</v>
      </c>
      <c r="G1288">
        <v>648.35230999999999</v>
      </c>
      <c r="I1288">
        <f t="shared" si="80"/>
        <v>0.19826640470947862</v>
      </c>
      <c r="J1288">
        <f t="shared" si="81"/>
        <v>0</v>
      </c>
      <c r="K1288">
        <f t="shared" si="82"/>
        <v>0</v>
      </c>
      <c r="L1288">
        <f t="shared" si="83"/>
        <v>0</v>
      </c>
    </row>
    <row r="1289" spans="1:12" x14ac:dyDescent="0.35">
      <c r="A1289" s="1" t="s">
        <v>23</v>
      </c>
      <c r="B1289">
        <v>0.41782864199999997</v>
      </c>
      <c r="C1289">
        <v>5.4992000000000001E-3</v>
      </c>
      <c r="D1289">
        <v>0</v>
      </c>
      <c r="E1289">
        <v>0</v>
      </c>
      <c r="F1289">
        <v>0</v>
      </c>
      <c r="G1289">
        <v>648.77013999999997</v>
      </c>
      <c r="I1289">
        <f t="shared" si="80"/>
        <v>0.26340975432619773</v>
      </c>
      <c r="J1289">
        <f t="shared" si="81"/>
        <v>0</v>
      </c>
      <c r="K1289">
        <f t="shared" si="82"/>
        <v>0</v>
      </c>
      <c r="L1289">
        <f t="shared" si="83"/>
        <v>0</v>
      </c>
    </row>
    <row r="1290" spans="1:12" x14ac:dyDescent="0.35">
      <c r="A1290" s="1" t="s">
        <v>24</v>
      </c>
      <c r="B1290">
        <v>0.41782941899999998</v>
      </c>
      <c r="C1290">
        <v>7.6290999999999998E-3</v>
      </c>
      <c r="D1290">
        <v>0</v>
      </c>
      <c r="E1290">
        <v>0</v>
      </c>
      <c r="F1290">
        <v>0</v>
      </c>
      <c r="G1290">
        <v>649.18796999999995</v>
      </c>
      <c r="I1290">
        <f t="shared" si="80"/>
        <v>0.36543053893202671</v>
      </c>
      <c r="J1290">
        <f t="shared" si="81"/>
        <v>0</v>
      </c>
      <c r="K1290">
        <f t="shared" si="82"/>
        <v>0</v>
      </c>
      <c r="L1290">
        <f t="shared" si="83"/>
        <v>0</v>
      </c>
    </row>
    <row r="1291" spans="1:12" x14ac:dyDescent="0.35">
      <c r="A1291" s="1" t="s">
        <v>71</v>
      </c>
      <c r="B1291">
        <v>0.3745</v>
      </c>
      <c r="C1291">
        <v>0</v>
      </c>
      <c r="D1291">
        <v>4.5116622</v>
      </c>
      <c r="E1291">
        <v>0</v>
      </c>
      <c r="F1291">
        <v>0</v>
      </c>
      <c r="G1291">
        <v>649.71247000000005</v>
      </c>
      <c r="I1291">
        <f t="shared" si="80"/>
        <v>0</v>
      </c>
      <c r="J1291">
        <f t="shared" si="81"/>
        <v>90.29571084748946</v>
      </c>
      <c r="K1291">
        <f t="shared" si="82"/>
        <v>0</v>
      </c>
      <c r="L1291">
        <f t="shared" si="83"/>
        <v>0</v>
      </c>
    </row>
    <row r="1292" spans="1:12" x14ac:dyDescent="0.35">
      <c r="A1292" s="1" t="s">
        <v>72</v>
      </c>
      <c r="B1292">
        <v>1.0280365199999999</v>
      </c>
      <c r="C1292">
        <v>2.4767999999999998E-2</v>
      </c>
      <c r="D1292">
        <v>-1.929</v>
      </c>
      <c r="E1292">
        <v>0</v>
      </c>
      <c r="F1292">
        <v>0</v>
      </c>
      <c r="G1292">
        <v>650.83050000000003</v>
      </c>
      <c r="I1292">
        <f t="shared" si="80"/>
        <v>0.48218416286837618</v>
      </c>
      <c r="J1292">
        <f t="shared" si="81"/>
        <v>-38.606708238220314</v>
      </c>
      <c r="K1292">
        <f t="shared" si="82"/>
        <v>0</v>
      </c>
      <c r="L1292">
        <f t="shared" si="83"/>
        <v>0</v>
      </c>
    </row>
    <row r="1293" spans="1:12" x14ac:dyDescent="0.35">
      <c r="A1293" s="1" t="s">
        <v>73</v>
      </c>
      <c r="B1293">
        <v>0.4975</v>
      </c>
      <c r="C1293">
        <v>0</v>
      </c>
      <c r="D1293">
        <v>4.61414189</v>
      </c>
      <c r="E1293">
        <v>0</v>
      </c>
      <c r="F1293">
        <v>0</v>
      </c>
      <c r="G1293">
        <v>651.41800000000001</v>
      </c>
      <c r="I1293">
        <f t="shared" si="80"/>
        <v>0</v>
      </c>
      <c r="J1293">
        <f t="shared" si="81"/>
        <v>92.346723544313335</v>
      </c>
      <c r="K1293">
        <f t="shared" si="82"/>
        <v>0</v>
      </c>
      <c r="L1293">
        <f t="shared" si="83"/>
        <v>0</v>
      </c>
    </row>
    <row r="1294" spans="1:12" x14ac:dyDescent="0.35">
      <c r="A1294" s="1" t="s">
        <v>28</v>
      </c>
      <c r="B1294">
        <v>0.1</v>
      </c>
      <c r="C1294">
        <v>0</v>
      </c>
      <c r="D1294">
        <v>0</v>
      </c>
      <c r="E1294">
        <v>0</v>
      </c>
      <c r="F1294">
        <v>0</v>
      </c>
      <c r="G1294">
        <v>651.58906999999999</v>
      </c>
      <c r="I1294">
        <f t="shared" si="80"/>
        <v>0</v>
      </c>
      <c r="J1294">
        <f t="shared" si="81"/>
        <v>0</v>
      </c>
      <c r="K1294">
        <f t="shared" si="82"/>
        <v>0</v>
      </c>
      <c r="L1294">
        <f t="shared" si="83"/>
        <v>0</v>
      </c>
    </row>
    <row r="1295" spans="1:12" x14ac:dyDescent="0.35">
      <c r="A1295" s="1" t="s">
        <v>74</v>
      </c>
      <c r="B1295">
        <v>0.40000102700000001</v>
      </c>
      <c r="C1295">
        <v>5.2300999999999997E-3</v>
      </c>
      <c r="D1295">
        <v>-1.5815999999999999</v>
      </c>
      <c r="E1295">
        <v>0</v>
      </c>
      <c r="F1295">
        <v>0</v>
      </c>
      <c r="G1295">
        <v>652.08207000000004</v>
      </c>
      <c r="I1295">
        <f t="shared" si="80"/>
        <v>0.26168536331815889</v>
      </c>
      <c r="J1295">
        <f t="shared" si="81"/>
        <v>-31.653898263125576</v>
      </c>
      <c r="K1295">
        <f t="shared" si="82"/>
        <v>0</v>
      </c>
      <c r="L1295">
        <f t="shared" si="83"/>
        <v>0</v>
      </c>
    </row>
    <row r="1296" spans="1:12" x14ac:dyDescent="0.35">
      <c r="A1296" s="1" t="s">
        <v>30</v>
      </c>
      <c r="B1296">
        <v>2.44294E-2</v>
      </c>
      <c r="C1296">
        <v>1.0499000000000001E-3</v>
      </c>
      <c r="D1296">
        <v>0</v>
      </c>
      <c r="E1296">
        <v>0</v>
      </c>
      <c r="F1296">
        <v>0</v>
      </c>
      <c r="G1296">
        <v>652.17700000000002</v>
      </c>
      <c r="I1296">
        <f t="shared" si="80"/>
        <v>0.8601331402616047</v>
      </c>
      <c r="J1296">
        <f t="shared" si="81"/>
        <v>0</v>
      </c>
      <c r="K1296">
        <f t="shared" si="82"/>
        <v>0</v>
      </c>
      <c r="L1296">
        <f t="shared" si="83"/>
        <v>0</v>
      </c>
    </row>
    <row r="1297" spans="1:12" x14ac:dyDescent="0.35">
      <c r="A1297" s="1" t="s">
        <v>30</v>
      </c>
      <c r="B1297">
        <v>2.44294E-2</v>
      </c>
      <c r="C1297">
        <v>1.0499000000000001E-3</v>
      </c>
      <c r="D1297">
        <v>0</v>
      </c>
      <c r="E1297">
        <v>0</v>
      </c>
      <c r="F1297">
        <v>0</v>
      </c>
      <c r="G1297">
        <f>652.177+0.0244294</f>
        <v>652.20142940000005</v>
      </c>
      <c r="I1297">
        <f t="shared" si="80"/>
        <v>0.8601331402616047</v>
      </c>
      <c r="J1297">
        <f t="shared" si="81"/>
        <v>0</v>
      </c>
      <c r="K1297">
        <f t="shared" si="82"/>
        <v>0</v>
      </c>
      <c r="L1297">
        <f t="shared" si="83"/>
        <v>0</v>
      </c>
    </row>
    <row r="1298" spans="1:12" x14ac:dyDescent="0.35">
      <c r="A1298" s="1" t="s">
        <v>75</v>
      </c>
      <c r="B1298">
        <v>0.40000102700000001</v>
      </c>
      <c r="C1298">
        <v>5.2300999999999997E-3</v>
      </c>
      <c r="D1298">
        <v>-1.5815999999999999</v>
      </c>
      <c r="E1298">
        <v>0</v>
      </c>
      <c r="F1298">
        <v>0</v>
      </c>
      <c r="G1298">
        <v>652.67192999999997</v>
      </c>
      <c r="I1298">
        <f t="shared" si="80"/>
        <v>0.26168536331815889</v>
      </c>
      <c r="J1298">
        <f t="shared" si="81"/>
        <v>-31.653898263125576</v>
      </c>
      <c r="K1298">
        <f t="shared" si="82"/>
        <v>0</v>
      </c>
      <c r="L1298">
        <f t="shared" si="83"/>
        <v>0</v>
      </c>
    </row>
    <row r="1299" spans="1:12" x14ac:dyDescent="0.35">
      <c r="A1299" s="1" t="s">
        <v>76</v>
      </c>
      <c r="B1299">
        <v>0.4975</v>
      </c>
      <c r="C1299">
        <v>0</v>
      </c>
      <c r="D1299">
        <v>4.61414189</v>
      </c>
      <c r="E1299">
        <v>0</v>
      </c>
      <c r="F1299">
        <v>0</v>
      </c>
      <c r="G1299">
        <v>653.43349999999998</v>
      </c>
      <c r="I1299">
        <f t="shared" si="80"/>
        <v>0</v>
      </c>
      <c r="J1299">
        <f t="shared" si="81"/>
        <v>92.346723544313335</v>
      </c>
      <c r="K1299">
        <f t="shared" si="82"/>
        <v>0</v>
      </c>
      <c r="L1299">
        <f t="shared" si="83"/>
        <v>0</v>
      </c>
    </row>
    <row r="1300" spans="1:12" x14ac:dyDescent="0.35">
      <c r="A1300" s="1" t="s">
        <v>77</v>
      </c>
      <c r="B1300">
        <v>1.0280365199999999</v>
      </c>
      <c r="C1300">
        <v>2.4767999999999998E-2</v>
      </c>
      <c r="D1300">
        <v>-1.929</v>
      </c>
      <c r="E1300">
        <v>0</v>
      </c>
      <c r="F1300">
        <v>0</v>
      </c>
      <c r="G1300">
        <v>654.55154000000005</v>
      </c>
      <c r="I1300">
        <f t="shared" si="80"/>
        <v>0.48218416286837618</v>
      </c>
      <c r="J1300">
        <f t="shared" si="81"/>
        <v>-38.606708238220314</v>
      </c>
      <c r="K1300">
        <f t="shared" si="82"/>
        <v>0</v>
      </c>
      <c r="L1300">
        <f t="shared" si="83"/>
        <v>0</v>
      </c>
    </row>
    <row r="1301" spans="1:12" x14ac:dyDescent="0.35">
      <c r="A1301" s="1" t="s">
        <v>78</v>
      </c>
      <c r="B1301">
        <v>0.3745</v>
      </c>
      <c r="C1301">
        <v>0</v>
      </c>
      <c r="D1301">
        <v>4.5116622</v>
      </c>
      <c r="E1301">
        <v>0</v>
      </c>
      <c r="F1301">
        <v>0</v>
      </c>
      <c r="G1301">
        <v>655.01603999999998</v>
      </c>
      <c r="I1301">
        <f t="shared" si="80"/>
        <v>0</v>
      </c>
      <c r="J1301">
        <f t="shared" si="81"/>
        <v>90.29571084748946</v>
      </c>
      <c r="K1301">
        <f t="shared" si="82"/>
        <v>0</v>
      </c>
      <c r="L1301">
        <f t="shared" si="83"/>
        <v>0</v>
      </c>
    </row>
    <row r="1302" spans="1:12" x14ac:dyDescent="0.35">
      <c r="A1302" s="1" t="s">
        <v>35</v>
      </c>
      <c r="B1302">
        <v>0.41782941899999998</v>
      </c>
      <c r="C1302">
        <v>7.6290999999999998E-3</v>
      </c>
      <c r="D1302">
        <v>0</v>
      </c>
      <c r="E1302">
        <v>0</v>
      </c>
      <c r="F1302">
        <v>0</v>
      </c>
      <c r="G1302">
        <v>655.58387000000005</v>
      </c>
      <c r="I1302">
        <f t="shared" si="80"/>
        <v>0.36543053893202671</v>
      </c>
      <c r="J1302">
        <f t="shared" si="81"/>
        <v>0</v>
      </c>
      <c r="K1302">
        <f t="shared" si="82"/>
        <v>0</v>
      </c>
      <c r="L1302">
        <f t="shared" si="83"/>
        <v>0</v>
      </c>
    </row>
    <row r="1303" spans="1:12" x14ac:dyDescent="0.35">
      <c r="A1303" s="1" t="s">
        <v>36</v>
      </c>
      <c r="B1303">
        <v>0.41782864199999997</v>
      </c>
      <c r="C1303">
        <v>5.4992000000000001E-3</v>
      </c>
      <c r="D1303">
        <v>0</v>
      </c>
      <c r="E1303">
        <v>0</v>
      </c>
      <c r="F1303">
        <v>0</v>
      </c>
      <c r="G1303">
        <v>656.00170000000003</v>
      </c>
      <c r="I1303">
        <f t="shared" si="80"/>
        <v>0.26340975432619773</v>
      </c>
      <c r="J1303">
        <f t="shared" si="81"/>
        <v>0</v>
      </c>
      <c r="K1303">
        <f t="shared" si="82"/>
        <v>0</v>
      </c>
      <c r="L1303">
        <f t="shared" si="83"/>
        <v>0</v>
      </c>
    </row>
    <row r="1304" spans="1:12" x14ac:dyDescent="0.35">
      <c r="A1304" s="1" t="s">
        <v>37</v>
      </c>
      <c r="B1304">
        <v>0.41782827500000003</v>
      </c>
      <c r="C1304">
        <v>4.1392E-3</v>
      </c>
      <c r="D1304">
        <v>0</v>
      </c>
      <c r="E1304">
        <v>0</v>
      </c>
      <c r="F1304">
        <v>0</v>
      </c>
      <c r="G1304">
        <v>656.41953000000001</v>
      </c>
      <c r="I1304">
        <f t="shared" si="80"/>
        <v>0.19826640470947862</v>
      </c>
      <c r="J1304">
        <f t="shared" si="81"/>
        <v>0</v>
      </c>
      <c r="K1304">
        <f t="shared" si="82"/>
        <v>0</v>
      </c>
      <c r="L1304">
        <f t="shared" si="83"/>
        <v>0</v>
      </c>
    </row>
    <row r="1305" spans="1:12" x14ac:dyDescent="0.35">
      <c r="A1305" s="1" t="s">
        <v>38</v>
      </c>
      <c r="B1305">
        <v>0.41782808399999999</v>
      </c>
      <c r="C1305">
        <v>3.2192000000000002E-3</v>
      </c>
      <c r="D1305">
        <v>0</v>
      </c>
      <c r="E1305">
        <v>0</v>
      </c>
      <c r="F1305">
        <v>0</v>
      </c>
      <c r="G1305">
        <v>656.83735000000001</v>
      </c>
      <c r="I1305">
        <f t="shared" si="80"/>
        <v>0.15419875865034546</v>
      </c>
      <c r="J1305">
        <f t="shared" si="81"/>
        <v>0</v>
      </c>
      <c r="K1305">
        <f t="shared" si="82"/>
        <v>0</v>
      </c>
      <c r="L1305">
        <f t="shared" si="83"/>
        <v>0</v>
      </c>
    </row>
    <row r="1306" spans="1:12" x14ac:dyDescent="0.35">
      <c r="A1306" s="1" t="s">
        <v>39</v>
      </c>
      <c r="B1306">
        <v>0.41782794400000001</v>
      </c>
      <c r="C1306">
        <v>2.3392E-3</v>
      </c>
      <c r="D1306">
        <v>0</v>
      </c>
      <c r="E1306">
        <v>0</v>
      </c>
      <c r="F1306">
        <v>0</v>
      </c>
      <c r="G1306">
        <v>657.25518</v>
      </c>
      <c r="I1306">
        <f t="shared" si="80"/>
        <v>0.11204704805350077</v>
      </c>
      <c r="J1306">
        <f t="shared" si="81"/>
        <v>0</v>
      </c>
      <c r="K1306">
        <f t="shared" si="82"/>
        <v>0</v>
      </c>
      <c r="L1306">
        <f t="shared" si="83"/>
        <v>0</v>
      </c>
    </row>
    <row r="1307" spans="1:12" x14ac:dyDescent="0.35">
      <c r="A1307" s="1" t="s">
        <v>79</v>
      </c>
      <c r="B1307">
        <v>0.21199999999999999</v>
      </c>
      <c r="C1307">
        <v>0</v>
      </c>
      <c r="D1307">
        <v>-2.53358734</v>
      </c>
      <c r="E1307">
        <v>0</v>
      </c>
      <c r="F1307">
        <v>0</v>
      </c>
      <c r="G1307">
        <v>657.51418000000001</v>
      </c>
      <c r="I1307">
        <f t="shared" si="80"/>
        <v>0</v>
      </c>
      <c r="J1307">
        <f t="shared" si="81"/>
        <v>-50.706825936458621</v>
      </c>
      <c r="K1307">
        <f t="shared" si="82"/>
        <v>0</v>
      </c>
      <c r="L1307">
        <f t="shared" si="83"/>
        <v>0</v>
      </c>
    </row>
    <row r="1308" spans="1:12" x14ac:dyDescent="0.35">
      <c r="A1308" s="1" t="s">
        <v>80</v>
      </c>
      <c r="B1308">
        <v>0.16600000000000001</v>
      </c>
      <c r="C1308">
        <v>0</v>
      </c>
      <c r="D1308">
        <v>0</v>
      </c>
      <c r="E1308">
        <v>-202.23429300000001</v>
      </c>
      <c r="F1308">
        <v>0</v>
      </c>
      <c r="G1308">
        <v>657.75518</v>
      </c>
      <c r="I1308">
        <f t="shared" si="80"/>
        <v>0</v>
      </c>
      <c r="J1308">
        <f t="shared" si="81"/>
        <v>0</v>
      </c>
      <c r="K1308">
        <f t="shared" si="82"/>
        <v>-4047.4859230760812</v>
      </c>
      <c r="L1308">
        <f t="shared" si="83"/>
        <v>0</v>
      </c>
    </row>
    <row r="1309" spans="1:12" x14ac:dyDescent="0.35">
      <c r="A1309" s="1" t="s">
        <v>81</v>
      </c>
      <c r="B1309">
        <v>0.09</v>
      </c>
      <c r="C1309">
        <v>0</v>
      </c>
      <c r="D1309">
        <v>0</v>
      </c>
      <c r="E1309">
        <v>0</v>
      </c>
      <c r="F1309">
        <v>-13632</v>
      </c>
      <c r="G1309">
        <v>658.29603999999995</v>
      </c>
      <c r="I1309">
        <f t="shared" si="80"/>
        <v>0</v>
      </c>
      <c r="J1309">
        <f t="shared" si="81"/>
        <v>0</v>
      </c>
      <c r="K1309">
        <f t="shared" si="82"/>
        <v>0</v>
      </c>
      <c r="L1309">
        <f t="shared" si="83"/>
        <v>-272828.74375501258</v>
      </c>
    </row>
    <row r="1310" spans="1:12" x14ac:dyDescent="0.35">
      <c r="A1310" s="1" t="s">
        <v>82</v>
      </c>
      <c r="B1310">
        <v>0.21199999999999999</v>
      </c>
      <c r="C1310">
        <v>0</v>
      </c>
      <c r="D1310">
        <v>2.47240752</v>
      </c>
      <c r="E1310">
        <v>0</v>
      </c>
      <c r="F1310">
        <v>0</v>
      </c>
      <c r="G1310">
        <v>658.56804</v>
      </c>
      <c r="I1310">
        <f t="shared" si="80"/>
        <v>0</v>
      </c>
      <c r="J1310">
        <f t="shared" si="81"/>
        <v>49.48238246273813</v>
      </c>
      <c r="K1310">
        <f t="shared" si="82"/>
        <v>0</v>
      </c>
      <c r="L1310">
        <f t="shared" si="83"/>
        <v>0</v>
      </c>
    </row>
    <row r="1311" spans="1:12" x14ac:dyDescent="0.35">
      <c r="A1311" s="1" t="s">
        <v>83</v>
      </c>
      <c r="B1311">
        <v>0.1</v>
      </c>
      <c r="C1311">
        <v>0</v>
      </c>
      <c r="D1311">
        <v>0</v>
      </c>
      <c r="E1311">
        <v>172.62799999999999</v>
      </c>
      <c r="F1311">
        <v>0</v>
      </c>
      <c r="G1311">
        <v>658.74303999999995</v>
      </c>
      <c r="I1311">
        <f t="shared" si="80"/>
        <v>0</v>
      </c>
      <c r="J1311">
        <f t="shared" si="81"/>
        <v>0</v>
      </c>
      <c r="K1311">
        <f t="shared" si="82"/>
        <v>3454.9501450220296</v>
      </c>
      <c r="L1311">
        <f t="shared" si="83"/>
        <v>0</v>
      </c>
    </row>
    <row r="1312" spans="1:12" x14ac:dyDescent="0.35">
      <c r="A1312" s="1" t="s">
        <v>83</v>
      </c>
      <c r="B1312">
        <v>0.1</v>
      </c>
      <c r="C1312">
        <v>0</v>
      </c>
      <c r="D1312">
        <v>0</v>
      </c>
      <c r="E1312">
        <v>172.62799999999999</v>
      </c>
      <c r="F1312">
        <v>0</v>
      </c>
      <c r="G1312">
        <f>0.1+658.74304</f>
        <v>658.84303999999997</v>
      </c>
      <c r="I1312">
        <f t="shared" si="80"/>
        <v>0</v>
      </c>
      <c r="J1312">
        <f t="shared" si="81"/>
        <v>0</v>
      </c>
      <c r="K1312">
        <f t="shared" si="82"/>
        <v>3454.9501450220296</v>
      </c>
      <c r="L1312">
        <f t="shared" si="83"/>
        <v>0</v>
      </c>
    </row>
    <row r="1313" spans="1:12" x14ac:dyDescent="0.35">
      <c r="A1313" s="1" t="s">
        <v>84</v>
      </c>
      <c r="B1313">
        <v>0.21199999999999999</v>
      </c>
      <c r="C1313">
        <v>0</v>
      </c>
      <c r="D1313">
        <v>2.47240752</v>
      </c>
      <c r="E1313">
        <v>0</v>
      </c>
      <c r="F1313">
        <v>0</v>
      </c>
      <c r="G1313">
        <v>659.13004000000001</v>
      </c>
      <c r="I1313">
        <f t="shared" si="80"/>
        <v>0</v>
      </c>
      <c r="J1313">
        <f t="shared" si="81"/>
        <v>49.48238246273813</v>
      </c>
      <c r="K1313">
        <f t="shared" si="82"/>
        <v>0</v>
      </c>
      <c r="L1313">
        <f t="shared" si="83"/>
        <v>0</v>
      </c>
    </row>
    <row r="1314" spans="1:12" x14ac:dyDescent="0.35">
      <c r="A1314" s="1" t="s">
        <v>85</v>
      </c>
      <c r="B1314">
        <v>0.16600000000000001</v>
      </c>
      <c r="C1314">
        <v>0</v>
      </c>
      <c r="D1314">
        <v>0</v>
      </c>
      <c r="E1314">
        <v>-132.861086</v>
      </c>
      <c r="F1314">
        <v>0</v>
      </c>
      <c r="G1314">
        <v>659.89688999999998</v>
      </c>
      <c r="I1314">
        <f t="shared" si="80"/>
        <v>0</v>
      </c>
      <c r="J1314">
        <f t="shared" si="81"/>
        <v>0</v>
      </c>
      <c r="K1314">
        <f t="shared" si="82"/>
        <v>-2659.0612666744933</v>
      </c>
      <c r="L1314">
        <f t="shared" si="83"/>
        <v>0</v>
      </c>
    </row>
    <row r="1315" spans="1:12" x14ac:dyDescent="0.35">
      <c r="A1315" s="1" t="s">
        <v>86</v>
      </c>
      <c r="B1315">
        <v>0.21199999999999999</v>
      </c>
      <c r="C1315">
        <v>0</v>
      </c>
      <c r="D1315">
        <v>-2.3709669899999999</v>
      </c>
      <c r="E1315">
        <v>0</v>
      </c>
      <c r="F1315">
        <v>0</v>
      </c>
      <c r="G1315">
        <v>660.18389000000002</v>
      </c>
      <c r="I1315">
        <f t="shared" si="80"/>
        <v>0</v>
      </c>
      <c r="J1315">
        <f t="shared" si="81"/>
        <v>-47.452167353748784</v>
      </c>
      <c r="K1315">
        <f t="shared" si="82"/>
        <v>0</v>
      </c>
      <c r="L1315">
        <f t="shared" si="83"/>
        <v>0</v>
      </c>
    </row>
    <row r="1316" spans="1:12" x14ac:dyDescent="0.35">
      <c r="A1316" s="1" t="s">
        <v>48</v>
      </c>
      <c r="B1316">
        <v>0.41782794400000001</v>
      </c>
      <c r="C1316">
        <v>2.3392E-3</v>
      </c>
      <c r="D1316">
        <v>0</v>
      </c>
      <c r="E1316">
        <v>0</v>
      </c>
      <c r="F1316">
        <v>0</v>
      </c>
      <c r="G1316">
        <v>660.64872000000003</v>
      </c>
      <c r="I1316">
        <f t="shared" si="80"/>
        <v>0.11204704805350077</v>
      </c>
      <c r="J1316">
        <f t="shared" si="81"/>
        <v>0</v>
      </c>
      <c r="K1316">
        <f t="shared" si="82"/>
        <v>0</v>
      </c>
      <c r="L1316">
        <f t="shared" si="83"/>
        <v>0</v>
      </c>
    </row>
    <row r="1317" spans="1:12" x14ac:dyDescent="0.35">
      <c r="A1317" s="1" t="s">
        <v>49</v>
      </c>
      <c r="B1317">
        <v>0.41782808399999999</v>
      </c>
      <c r="C1317">
        <v>3.2192000000000002E-3</v>
      </c>
      <c r="D1317">
        <v>0</v>
      </c>
      <c r="E1317">
        <v>0</v>
      </c>
      <c r="F1317">
        <v>0</v>
      </c>
      <c r="G1317">
        <v>661.06655000000001</v>
      </c>
      <c r="I1317">
        <f t="shared" si="80"/>
        <v>0.15419875865034546</v>
      </c>
      <c r="J1317">
        <f t="shared" si="81"/>
        <v>0</v>
      </c>
      <c r="K1317">
        <f t="shared" si="82"/>
        <v>0</v>
      </c>
      <c r="L1317">
        <f t="shared" si="83"/>
        <v>0</v>
      </c>
    </row>
    <row r="1318" spans="1:12" x14ac:dyDescent="0.35">
      <c r="A1318" s="1" t="s">
        <v>50</v>
      </c>
      <c r="B1318">
        <v>0.41782827500000003</v>
      </c>
      <c r="C1318">
        <v>4.1392E-3</v>
      </c>
      <c r="D1318">
        <v>0</v>
      </c>
      <c r="E1318">
        <v>0</v>
      </c>
      <c r="F1318">
        <v>0</v>
      </c>
      <c r="G1318">
        <v>661.48437000000001</v>
      </c>
      <c r="I1318">
        <f t="shared" si="80"/>
        <v>0.19826640470947862</v>
      </c>
      <c r="J1318">
        <f t="shared" si="81"/>
        <v>0</v>
      </c>
      <c r="K1318">
        <f t="shared" si="82"/>
        <v>0</v>
      </c>
      <c r="L1318">
        <f t="shared" si="83"/>
        <v>0</v>
      </c>
    </row>
    <row r="1319" spans="1:12" x14ac:dyDescent="0.35">
      <c r="A1319" s="1" t="s">
        <v>51</v>
      </c>
      <c r="B1319">
        <v>0.41782864199999997</v>
      </c>
      <c r="C1319">
        <v>5.4992000000000001E-3</v>
      </c>
      <c r="D1319">
        <v>0</v>
      </c>
      <c r="E1319">
        <v>0</v>
      </c>
      <c r="F1319">
        <v>0</v>
      </c>
      <c r="G1319">
        <v>661.90219999999999</v>
      </c>
      <c r="I1319">
        <f t="shared" si="80"/>
        <v>0.26340975432619773</v>
      </c>
      <c r="J1319">
        <f t="shared" si="81"/>
        <v>0</v>
      </c>
      <c r="K1319">
        <f t="shared" si="82"/>
        <v>0</v>
      </c>
      <c r="L1319">
        <f t="shared" si="83"/>
        <v>0</v>
      </c>
    </row>
    <row r="1320" spans="1:12" x14ac:dyDescent="0.35">
      <c r="A1320" s="1" t="s">
        <v>52</v>
      </c>
      <c r="B1320">
        <v>0.41783028900000002</v>
      </c>
      <c r="C1320">
        <v>9.4690999999999994E-3</v>
      </c>
      <c r="D1320">
        <v>0</v>
      </c>
      <c r="E1320">
        <v>0</v>
      </c>
      <c r="F1320">
        <v>0</v>
      </c>
      <c r="G1320">
        <v>662.32002999999997</v>
      </c>
      <c r="I1320">
        <f t="shared" si="80"/>
        <v>0.45356478630764774</v>
      </c>
      <c r="J1320">
        <f t="shared" si="81"/>
        <v>0</v>
      </c>
      <c r="K1320">
        <f t="shared" si="82"/>
        <v>0</v>
      </c>
      <c r="L1320">
        <f t="shared" si="83"/>
        <v>0</v>
      </c>
    </row>
    <row r="1321" spans="1:12" x14ac:dyDescent="0.35">
      <c r="A1321" s="1" t="s">
        <v>87</v>
      </c>
      <c r="B1321">
        <v>0.16200000000000001</v>
      </c>
      <c r="C1321">
        <v>0</v>
      </c>
      <c r="D1321">
        <v>-2.8698264299999998</v>
      </c>
      <c r="E1321">
        <v>0</v>
      </c>
      <c r="F1321">
        <v>0</v>
      </c>
      <c r="G1321">
        <v>662.52903000000003</v>
      </c>
      <c r="I1321">
        <f t="shared" si="80"/>
        <v>0</v>
      </c>
      <c r="J1321">
        <f t="shared" si="81"/>
        <v>-57.436263181619168</v>
      </c>
      <c r="K1321">
        <f t="shared" si="82"/>
        <v>0</v>
      </c>
      <c r="L1321">
        <f t="shared" si="83"/>
        <v>0</v>
      </c>
    </row>
    <row r="1322" spans="1:12" x14ac:dyDescent="0.35">
      <c r="A1322" s="1" t="s">
        <v>54</v>
      </c>
      <c r="B1322">
        <v>0.1</v>
      </c>
      <c r="C1322">
        <v>0</v>
      </c>
      <c r="D1322">
        <v>0</v>
      </c>
      <c r="E1322">
        <v>0</v>
      </c>
      <c r="F1322">
        <v>0</v>
      </c>
      <c r="G1322">
        <v>662.85902999999996</v>
      </c>
      <c r="I1322">
        <f t="shared" si="80"/>
        <v>0</v>
      </c>
      <c r="J1322">
        <f t="shared" si="81"/>
        <v>0</v>
      </c>
      <c r="K1322">
        <f t="shared" si="82"/>
        <v>0</v>
      </c>
      <c r="L1322">
        <f t="shared" si="83"/>
        <v>0</v>
      </c>
    </row>
    <row r="1323" spans="1:12" x14ac:dyDescent="0.35">
      <c r="A1323" s="1" t="s">
        <v>88</v>
      </c>
      <c r="B1323">
        <v>0.29499999999999998</v>
      </c>
      <c r="C1323">
        <v>0</v>
      </c>
      <c r="D1323">
        <v>2.43875777</v>
      </c>
      <c r="E1323">
        <v>0</v>
      </c>
      <c r="F1323">
        <v>0</v>
      </c>
      <c r="G1323">
        <v>663.26403000000005</v>
      </c>
      <c r="I1323">
        <f t="shared" si="80"/>
        <v>0</v>
      </c>
      <c r="J1323">
        <f t="shared" si="81"/>
        <v>48.808921560436907</v>
      </c>
      <c r="K1323">
        <f t="shared" si="82"/>
        <v>0</v>
      </c>
      <c r="L1323">
        <f t="shared" si="83"/>
        <v>0</v>
      </c>
    </row>
    <row r="1324" spans="1:12" x14ac:dyDescent="0.35">
      <c r="A1324" s="1" t="s">
        <v>56</v>
      </c>
      <c r="B1324">
        <v>0.29499999999999998</v>
      </c>
      <c r="C1324">
        <v>0</v>
      </c>
      <c r="D1324">
        <v>2.43875777</v>
      </c>
      <c r="E1324">
        <v>0</v>
      </c>
      <c r="F1324">
        <v>0</v>
      </c>
      <c r="G1324">
        <v>669.13719000000003</v>
      </c>
      <c r="I1324">
        <f t="shared" si="80"/>
        <v>0</v>
      </c>
      <c r="J1324">
        <f t="shared" si="81"/>
        <v>48.808921560436907</v>
      </c>
      <c r="K1324">
        <f t="shared" si="82"/>
        <v>0</v>
      </c>
      <c r="L1324">
        <f t="shared" si="83"/>
        <v>0</v>
      </c>
    </row>
    <row r="1325" spans="1:12" x14ac:dyDescent="0.35">
      <c r="A1325" s="1" t="s">
        <v>2</v>
      </c>
      <c r="B1325">
        <v>0.1</v>
      </c>
      <c r="C1325">
        <v>0</v>
      </c>
      <c r="D1325">
        <v>0</v>
      </c>
      <c r="E1325">
        <v>0</v>
      </c>
      <c r="F1325">
        <v>0</v>
      </c>
      <c r="G1325">
        <v>669.34718999999996</v>
      </c>
      <c r="I1325">
        <f t="shared" si="80"/>
        <v>0</v>
      </c>
      <c r="J1325">
        <f t="shared" si="81"/>
        <v>0</v>
      </c>
      <c r="K1325">
        <f t="shared" si="82"/>
        <v>0</v>
      </c>
      <c r="L1325">
        <f t="shared" si="83"/>
        <v>0</v>
      </c>
    </row>
    <row r="1326" spans="1:12" x14ac:dyDescent="0.35">
      <c r="A1326" s="1" t="s">
        <v>57</v>
      </c>
      <c r="B1326">
        <v>0.16200000000000001</v>
      </c>
      <c r="C1326">
        <v>0</v>
      </c>
      <c r="D1326">
        <v>-2.8698264299999998</v>
      </c>
      <c r="E1326">
        <v>0</v>
      </c>
      <c r="F1326">
        <v>0</v>
      </c>
      <c r="G1326">
        <v>669.73919000000001</v>
      </c>
      <c r="I1326">
        <f t="shared" si="80"/>
        <v>0</v>
      </c>
      <c r="J1326">
        <f t="shared" si="81"/>
        <v>-57.436263181619168</v>
      </c>
      <c r="K1326">
        <f t="shared" si="82"/>
        <v>0</v>
      </c>
      <c r="L1326">
        <f t="shared" si="83"/>
        <v>0</v>
      </c>
    </row>
    <row r="1327" spans="1:12" x14ac:dyDescent="0.35">
      <c r="A1327" s="1" t="s">
        <v>58</v>
      </c>
      <c r="B1327">
        <v>0.41783028900000002</v>
      </c>
      <c r="C1327">
        <v>9.4690999999999994E-3</v>
      </c>
      <c r="D1327">
        <v>0</v>
      </c>
      <c r="E1327">
        <v>0</v>
      </c>
      <c r="F1327">
        <v>0</v>
      </c>
      <c r="G1327">
        <v>670.20402000000001</v>
      </c>
      <c r="I1327">
        <f t="shared" si="80"/>
        <v>0.45356478630764774</v>
      </c>
      <c r="J1327">
        <f t="shared" si="81"/>
        <v>0</v>
      </c>
      <c r="K1327">
        <f t="shared" si="82"/>
        <v>0</v>
      </c>
      <c r="L1327">
        <f t="shared" si="83"/>
        <v>0</v>
      </c>
    </row>
    <row r="1328" spans="1:12" x14ac:dyDescent="0.35">
      <c r="A1328" s="1" t="s">
        <v>59</v>
      </c>
      <c r="B1328">
        <v>0.41782864199999997</v>
      </c>
      <c r="C1328">
        <v>5.4992000000000001E-3</v>
      </c>
      <c r="D1328">
        <v>0</v>
      </c>
      <c r="E1328">
        <v>0</v>
      </c>
      <c r="F1328">
        <v>0</v>
      </c>
      <c r="G1328">
        <v>670.62184000000002</v>
      </c>
      <c r="I1328">
        <f t="shared" si="80"/>
        <v>0.26340975432619773</v>
      </c>
      <c r="J1328">
        <f t="shared" si="81"/>
        <v>0</v>
      </c>
      <c r="K1328">
        <f t="shared" si="82"/>
        <v>0</v>
      </c>
      <c r="L1328">
        <f t="shared" si="83"/>
        <v>0</v>
      </c>
    </row>
    <row r="1329" spans="1:12" x14ac:dyDescent="0.35">
      <c r="A1329" s="1" t="s">
        <v>60</v>
      </c>
      <c r="B1329">
        <v>0.41782827500000003</v>
      </c>
      <c r="C1329">
        <v>4.1392E-3</v>
      </c>
      <c r="D1329">
        <v>0</v>
      </c>
      <c r="E1329">
        <v>0</v>
      </c>
      <c r="F1329">
        <v>0</v>
      </c>
      <c r="G1329">
        <v>671.03967</v>
      </c>
      <c r="I1329">
        <f t="shared" si="80"/>
        <v>0.19826640470947862</v>
      </c>
      <c r="J1329">
        <f t="shared" si="81"/>
        <v>0</v>
      </c>
      <c r="K1329">
        <f t="shared" si="82"/>
        <v>0</v>
      </c>
      <c r="L1329">
        <f t="shared" si="83"/>
        <v>0</v>
      </c>
    </row>
    <row r="1330" spans="1:12" x14ac:dyDescent="0.35">
      <c r="A1330" s="1" t="s">
        <v>61</v>
      </c>
      <c r="B1330">
        <v>0.41782808399999999</v>
      </c>
      <c r="C1330">
        <v>3.2192000000000002E-3</v>
      </c>
      <c r="D1330">
        <v>0</v>
      </c>
      <c r="E1330">
        <v>0</v>
      </c>
      <c r="F1330">
        <v>0</v>
      </c>
      <c r="G1330">
        <v>671.45749999999998</v>
      </c>
      <c r="I1330">
        <f t="shared" si="80"/>
        <v>0.15419875865034546</v>
      </c>
      <c r="J1330">
        <f t="shared" si="81"/>
        <v>0</v>
      </c>
      <c r="K1330">
        <f t="shared" si="82"/>
        <v>0</v>
      </c>
      <c r="L1330">
        <f t="shared" si="83"/>
        <v>0</v>
      </c>
    </row>
    <row r="1331" spans="1:12" x14ac:dyDescent="0.35">
      <c r="A1331" s="1" t="s">
        <v>62</v>
      </c>
      <c r="B1331">
        <v>0.41782794400000001</v>
      </c>
      <c r="C1331">
        <v>2.3392E-3</v>
      </c>
      <c r="D1331">
        <v>0</v>
      </c>
      <c r="E1331">
        <v>0</v>
      </c>
      <c r="F1331">
        <v>0</v>
      </c>
      <c r="G1331">
        <v>671.87532999999996</v>
      </c>
      <c r="I1331">
        <f t="shared" si="80"/>
        <v>0.11204704805350077</v>
      </c>
      <c r="J1331">
        <f t="shared" si="81"/>
        <v>0</v>
      </c>
      <c r="K1331">
        <f t="shared" si="82"/>
        <v>0</v>
      </c>
      <c r="L1331">
        <f t="shared" si="83"/>
        <v>0</v>
      </c>
    </row>
    <row r="1332" spans="1:12" x14ac:dyDescent="0.35">
      <c r="A1332" s="1" t="s">
        <v>63</v>
      </c>
      <c r="B1332">
        <v>0.21199999999999999</v>
      </c>
      <c r="C1332">
        <v>0</v>
      </c>
      <c r="D1332">
        <v>-2.3709669899999999</v>
      </c>
      <c r="E1332">
        <v>0</v>
      </c>
      <c r="F1332">
        <v>0</v>
      </c>
      <c r="G1332">
        <v>672.13432999999998</v>
      </c>
      <c r="I1332">
        <f t="shared" si="80"/>
        <v>0</v>
      </c>
      <c r="J1332">
        <f t="shared" si="81"/>
        <v>-47.452167353748784</v>
      </c>
      <c r="K1332">
        <f t="shared" si="82"/>
        <v>0</v>
      </c>
      <c r="L1332">
        <f t="shared" si="83"/>
        <v>0</v>
      </c>
    </row>
    <row r="1333" spans="1:12" x14ac:dyDescent="0.35">
      <c r="A1333" s="1" t="s">
        <v>64</v>
      </c>
      <c r="B1333">
        <v>0.16600000000000001</v>
      </c>
      <c r="C1333">
        <v>0</v>
      </c>
      <c r="D1333">
        <v>0</v>
      </c>
      <c r="E1333">
        <v>-132.861086</v>
      </c>
      <c r="F1333">
        <v>0</v>
      </c>
      <c r="G1333">
        <v>672.37532999999996</v>
      </c>
      <c r="I1333">
        <f t="shared" si="80"/>
        <v>0</v>
      </c>
      <c r="J1333">
        <f t="shared" si="81"/>
        <v>0</v>
      </c>
      <c r="K1333">
        <f t="shared" si="82"/>
        <v>-2659.0612666744933</v>
      </c>
      <c r="L1333">
        <f t="shared" si="83"/>
        <v>0</v>
      </c>
    </row>
    <row r="1334" spans="1:12" x14ac:dyDescent="0.35">
      <c r="A1334" s="1" t="s">
        <v>65</v>
      </c>
      <c r="B1334">
        <v>0.21199999999999999</v>
      </c>
      <c r="C1334">
        <v>0</v>
      </c>
      <c r="D1334">
        <v>2.47240752</v>
      </c>
      <c r="E1334">
        <v>0</v>
      </c>
      <c r="F1334">
        <v>0</v>
      </c>
      <c r="G1334">
        <v>673.18817999999999</v>
      </c>
      <c r="I1334">
        <f t="shared" si="80"/>
        <v>0</v>
      </c>
      <c r="J1334">
        <f t="shared" si="81"/>
        <v>49.48238246273813</v>
      </c>
      <c r="K1334">
        <f t="shared" si="82"/>
        <v>0</v>
      </c>
      <c r="L1334">
        <f t="shared" si="83"/>
        <v>0</v>
      </c>
    </row>
    <row r="1335" spans="1:12" x14ac:dyDescent="0.35">
      <c r="A1335" s="1" t="s">
        <v>66</v>
      </c>
      <c r="B1335">
        <v>0.1</v>
      </c>
      <c r="C1335">
        <v>0</v>
      </c>
      <c r="D1335">
        <v>0</v>
      </c>
      <c r="E1335">
        <v>172.62799999999999</v>
      </c>
      <c r="F1335">
        <v>0</v>
      </c>
      <c r="G1335">
        <v>673.36318000000006</v>
      </c>
      <c r="I1335">
        <f t="shared" si="80"/>
        <v>0</v>
      </c>
      <c r="J1335">
        <f t="shared" si="81"/>
        <v>0</v>
      </c>
      <c r="K1335">
        <f t="shared" si="82"/>
        <v>3454.9501450220296</v>
      </c>
      <c r="L1335">
        <f t="shared" si="83"/>
        <v>0</v>
      </c>
    </row>
    <row r="1336" spans="1:12" x14ac:dyDescent="0.35">
      <c r="A1336" s="1" t="s">
        <v>66</v>
      </c>
      <c r="B1336">
        <v>0.1</v>
      </c>
      <c r="C1336">
        <v>0</v>
      </c>
      <c r="D1336">
        <v>0</v>
      </c>
      <c r="E1336">
        <v>172.62799999999999</v>
      </c>
      <c r="F1336">
        <v>0</v>
      </c>
      <c r="G1336">
        <f>673.36318+0.1</f>
        <v>673.46318000000008</v>
      </c>
      <c r="I1336">
        <f t="shared" si="80"/>
        <v>0</v>
      </c>
      <c r="J1336">
        <f t="shared" si="81"/>
        <v>0</v>
      </c>
      <c r="K1336">
        <f t="shared" si="82"/>
        <v>3454.9501450220296</v>
      </c>
      <c r="L1336">
        <f t="shared" si="83"/>
        <v>0</v>
      </c>
    </row>
    <row r="1337" spans="1:12" x14ac:dyDescent="0.35">
      <c r="A1337" s="1" t="s">
        <v>67</v>
      </c>
      <c r="B1337">
        <v>0.21199999999999999</v>
      </c>
      <c r="C1337">
        <v>0</v>
      </c>
      <c r="D1337">
        <v>2.47240752</v>
      </c>
      <c r="E1337">
        <v>0</v>
      </c>
      <c r="F1337">
        <v>0</v>
      </c>
      <c r="G1337">
        <v>673.75018</v>
      </c>
      <c r="I1337">
        <f t="shared" si="80"/>
        <v>0</v>
      </c>
      <c r="J1337">
        <f t="shared" si="81"/>
        <v>49.48238246273813</v>
      </c>
      <c r="K1337">
        <f t="shared" si="82"/>
        <v>0</v>
      </c>
      <c r="L1337">
        <f t="shared" si="83"/>
        <v>0</v>
      </c>
    </row>
    <row r="1338" spans="1:12" x14ac:dyDescent="0.35">
      <c r="A1338" s="1" t="s">
        <v>68</v>
      </c>
      <c r="B1338">
        <v>0.09</v>
      </c>
      <c r="C1338">
        <v>0</v>
      </c>
      <c r="D1338">
        <v>0</v>
      </c>
      <c r="E1338">
        <v>0</v>
      </c>
      <c r="F1338">
        <v>-13632</v>
      </c>
      <c r="G1338">
        <v>673.90017999999998</v>
      </c>
      <c r="I1338">
        <f t="shared" si="80"/>
        <v>0</v>
      </c>
      <c r="J1338">
        <f t="shared" si="81"/>
        <v>0</v>
      </c>
      <c r="K1338">
        <f t="shared" si="82"/>
        <v>0</v>
      </c>
      <c r="L1338">
        <f t="shared" si="83"/>
        <v>-272828.74375501258</v>
      </c>
    </row>
    <row r="1339" spans="1:12" x14ac:dyDescent="0.35">
      <c r="A1339" s="1" t="s">
        <v>69</v>
      </c>
      <c r="B1339">
        <v>0.16600000000000001</v>
      </c>
      <c r="C1339">
        <v>0</v>
      </c>
      <c r="D1339">
        <v>0</v>
      </c>
      <c r="E1339">
        <v>-202.23429300000001</v>
      </c>
      <c r="F1339">
        <v>0</v>
      </c>
      <c r="G1339">
        <v>674.51703999999995</v>
      </c>
      <c r="I1339">
        <f t="shared" si="80"/>
        <v>0</v>
      </c>
      <c r="J1339">
        <f t="shared" si="81"/>
        <v>0</v>
      </c>
      <c r="K1339">
        <f t="shared" si="82"/>
        <v>-4047.4859230760812</v>
      </c>
      <c r="L1339">
        <f t="shared" si="83"/>
        <v>0</v>
      </c>
    </row>
    <row r="1340" spans="1:12" x14ac:dyDescent="0.35">
      <c r="A1340" s="1" t="s">
        <v>70</v>
      </c>
      <c r="B1340">
        <v>0.21199999999999999</v>
      </c>
      <c r="C1340">
        <v>0</v>
      </c>
      <c r="D1340">
        <v>-2.53358734</v>
      </c>
      <c r="E1340">
        <v>0</v>
      </c>
      <c r="F1340">
        <v>0</v>
      </c>
      <c r="G1340">
        <v>674.80403999999999</v>
      </c>
      <c r="I1340">
        <f t="shared" si="80"/>
        <v>0</v>
      </c>
      <c r="J1340">
        <f t="shared" si="81"/>
        <v>-50.706825936458621</v>
      </c>
      <c r="K1340">
        <f t="shared" si="82"/>
        <v>0</v>
      </c>
      <c r="L1340">
        <f t="shared" si="83"/>
        <v>0</v>
      </c>
    </row>
    <row r="1341" spans="1:12" x14ac:dyDescent="0.35">
      <c r="A1341" s="1" t="s">
        <v>20</v>
      </c>
      <c r="B1341">
        <v>0.41782794400000001</v>
      </c>
      <c r="C1341">
        <v>2.3392E-3</v>
      </c>
      <c r="D1341">
        <v>0</v>
      </c>
      <c r="E1341">
        <v>0</v>
      </c>
      <c r="F1341">
        <v>0</v>
      </c>
      <c r="G1341">
        <v>675.26886000000002</v>
      </c>
      <c r="I1341">
        <f t="shared" si="80"/>
        <v>0.11204704805350077</v>
      </c>
      <c r="J1341">
        <f t="shared" si="81"/>
        <v>0</v>
      </c>
      <c r="K1341">
        <f t="shared" si="82"/>
        <v>0</v>
      </c>
      <c r="L1341">
        <f t="shared" si="83"/>
        <v>0</v>
      </c>
    </row>
    <row r="1342" spans="1:12" x14ac:dyDescent="0.35">
      <c r="A1342" s="1" t="s">
        <v>21</v>
      </c>
      <c r="B1342">
        <v>0.41782808399999999</v>
      </c>
      <c r="C1342">
        <v>3.2192000000000002E-3</v>
      </c>
      <c r="D1342">
        <v>0</v>
      </c>
      <c r="E1342">
        <v>0</v>
      </c>
      <c r="F1342">
        <v>0</v>
      </c>
      <c r="G1342">
        <v>675.68669</v>
      </c>
      <c r="I1342">
        <f t="shared" si="80"/>
        <v>0.15419875865034546</v>
      </c>
      <c r="J1342">
        <f t="shared" si="81"/>
        <v>0</v>
      </c>
      <c r="K1342">
        <f t="shared" si="82"/>
        <v>0</v>
      </c>
      <c r="L1342">
        <f t="shared" si="83"/>
        <v>0</v>
      </c>
    </row>
    <row r="1343" spans="1:12" x14ac:dyDescent="0.35">
      <c r="A1343" s="1" t="s">
        <v>22</v>
      </c>
      <c r="B1343">
        <v>0.41782827500000003</v>
      </c>
      <c r="C1343">
        <v>4.1392E-3</v>
      </c>
      <c r="D1343">
        <v>0</v>
      </c>
      <c r="E1343">
        <v>0</v>
      </c>
      <c r="F1343">
        <v>0</v>
      </c>
      <c r="G1343">
        <v>676.10451999999998</v>
      </c>
      <c r="I1343">
        <f t="shared" si="80"/>
        <v>0.19826640470947862</v>
      </c>
      <c r="J1343">
        <f t="shared" si="81"/>
        <v>0</v>
      </c>
      <c r="K1343">
        <f t="shared" si="82"/>
        <v>0</v>
      </c>
      <c r="L1343">
        <f t="shared" si="83"/>
        <v>0</v>
      </c>
    </row>
    <row r="1344" spans="1:12" x14ac:dyDescent="0.35">
      <c r="A1344" s="1" t="s">
        <v>23</v>
      </c>
      <c r="B1344">
        <v>0.41782864199999997</v>
      </c>
      <c r="C1344">
        <v>5.4992000000000001E-3</v>
      </c>
      <c r="D1344">
        <v>0</v>
      </c>
      <c r="E1344">
        <v>0</v>
      </c>
      <c r="F1344">
        <v>0</v>
      </c>
      <c r="G1344">
        <v>676.52234999999996</v>
      </c>
      <c r="I1344">
        <f t="shared" si="80"/>
        <v>0.26340975432619773</v>
      </c>
      <c r="J1344">
        <f t="shared" si="81"/>
        <v>0</v>
      </c>
      <c r="K1344">
        <f t="shared" si="82"/>
        <v>0</v>
      </c>
      <c r="L1344">
        <f t="shared" si="83"/>
        <v>0</v>
      </c>
    </row>
    <row r="1345" spans="1:12" x14ac:dyDescent="0.35">
      <c r="A1345" s="1" t="s">
        <v>24</v>
      </c>
      <c r="B1345">
        <v>0.41782941899999998</v>
      </c>
      <c r="C1345">
        <v>7.6290999999999998E-3</v>
      </c>
      <c r="D1345">
        <v>0</v>
      </c>
      <c r="E1345">
        <v>0</v>
      </c>
      <c r="F1345">
        <v>0</v>
      </c>
      <c r="G1345">
        <v>676.94018000000005</v>
      </c>
      <c r="I1345">
        <f t="shared" si="80"/>
        <v>0.36543053893202671</v>
      </c>
      <c r="J1345">
        <f t="shared" si="81"/>
        <v>0</v>
      </c>
      <c r="K1345">
        <f t="shared" si="82"/>
        <v>0</v>
      </c>
      <c r="L1345">
        <f t="shared" si="83"/>
        <v>0</v>
      </c>
    </row>
    <row r="1346" spans="1:12" x14ac:dyDescent="0.35">
      <c r="A1346" s="1" t="s">
        <v>71</v>
      </c>
      <c r="B1346">
        <v>0.3745</v>
      </c>
      <c r="C1346">
        <v>0</v>
      </c>
      <c r="D1346">
        <v>4.5116622</v>
      </c>
      <c r="E1346">
        <v>0</v>
      </c>
      <c r="F1346">
        <v>0</v>
      </c>
      <c r="G1346">
        <v>677.46468000000004</v>
      </c>
      <c r="I1346">
        <f t="shared" si="80"/>
        <v>0</v>
      </c>
      <c r="J1346">
        <f t="shared" si="81"/>
        <v>90.29571084748946</v>
      </c>
      <c r="K1346">
        <f t="shared" si="82"/>
        <v>0</v>
      </c>
      <c r="L1346">
        <f t="shared" si="83"/>
        <v>0</v>
      </c>
    </row>
    <row r="1347" spans="1:12" x14ac:dyDescent="0.35">
      <c r="A1347" s="1" t="s">
        <v>72</v>
      </c>
      <c r="B1347">
        <v>1.0280365199999999</v>
      </c>
      <c r="C1347">
        <v>2.4767999999999998E-2</v>
      </c>
      <c r="D1347">
        <v>-1.929</v>
      </c>
      <c r="E1347">
        <v>0</v>
      </c>
      <c r="F1347">
        <v>0</v>
      </c>
      <c r="G1347">
        <v>678.58271000000002</v>
      </c>
      <c r="I1347">
        <f t="shared" si="80"/>
        <v>0.48218416286837618</v>
      </c>
      <c r="J1347">
        <f t="shared" si="81"/>
        <v>-38.606708238220314</v>
      </c>
      <c r="K1347">
        <f t="shared" si="82"/>
        <v>0</v>
      </c>
      <c r="L1347">
        <f t="shared" si="83"/>
        <v>0</v>
      </c>
    </row>
    <row r="1348" spans="1:12" x14ac:dyDescent="0.35">
      <c r="A1348" s="1" t="s">
        <v>73</v>
      </c>
      <c r="B1348">
        <v>0.4975</v>
      </c>
      <c r="C1348">
        <v>0</v>
      </c>
      <c r="D1348">
        <v>4.61414189</v>
      </c>
      <c r="E1348">
        <v>0</v>
      </c>
      <c r="F1348">
        <v>0</v>
      </c>
      <c r="G1348">
        <v>679.17021</v>
      </c>
      <c r="I1348">
        <f t="shared" ref="I1348:I1411" si="84">$H$2*$C1348/$B1348</f>
        <v>0</v>
      </c>
      <c r="J1348">
        <f t="shared" ref="J1348:J1411" si="85">$H$2*$D1348</f>
        <v>92.346723544313335</v>
      </c>
      <c r="K1348">
        <f t="shared" ref="K1348:K1411" si="86">$H$2*$E1348</f>
        <v>0</v>
      </c>
      <c r="L1348">
        <f t="shared" ref="L1348:L1411" si="87">$H$2*$F1348</f>
        <v>0</v>
      </c>
    </row>
    <row r="1349" spans="1:12" x14ac:dyDescent="0.35">
      <c r="A1349" s="1" t="s">
        <v>28</v>
      </c>
      <c r="B1349">
        <v>0.1</v>
      </c>
      <c r="C1349">
        <v>0</v>
      </c>
      <c r="D1349">
        <v>0</v>
      </c>
      <c r="E1349">
        <v>0</v>
      </c>
      <c r="F1349">
        <v>0</v>
      </c>
      <c r="G1349">
        <v>679.34128999999996</v>
      </c>
      <c r="I1349">
        <f t="shared" si="84"/>
        <v>0</v>
      </c>
      <c r="J1349">
        <f t="shared" si="85"/>
        <v>0</v>
      </c>
      <c r="K1349">
        <f t="shared" si="86"/>
        <v>0</v>
      </c>
      <c r="L1349">
        <f t="shared" si="87"/>
        <v>0</v>
      </c>
    </row>
    <row r="1350" spans="1:12" x14ac:dyDescent="0.35">
      <c r="A1350" s="1" t="s">
        <v>74</v>
      </c>
      <c r="B1350">
        <v>0.40000102700000001</v>
      </c>
      <c r="C1350">
        <v>5.2300999999999997E-3</v>
      </c>
      <c r="D1350">
        <v>-1.5815999999999999</v>
      </c>
      <c r="E1350">
        <v>0</v>
      </c>
      <c r="F1350">
        <v>0</v>
      </c>
      <c r="G1350">
        <v>679.83429000000001</v>
      </c>
      <c r="I1350">
        <f t="shared" si="84"/>
        <v>0.26168536331815889</v>
      </c>
      <c r="J1350">
        <f t="shared" si="85"/>
        <v>-31.653898263125576</v>
      </c>
      <c r="K1350">
        <f t="shared" si="86"/>
        <v>0</v>
      </c>
      <c r="L1350">
        <f t="shared" si="87"/>
        <v>0</v>
      </c>
    </row>
    <row r="1351" spans="1:12" x14ac:dyDescent="0.35">
      <c r="A1351" s="1" t="s">
        <v>30</v>
      </c>
      <c r="B1351">
        <v>2.44294E-2</v>
      </c>
      <c r="C1351">
        <v>1.0499000000000001E-3</v>
      </c>
      <c r="D1351">
        <v>0</v>
      </c>
      <c r="E1351">
        <v>0</v>
      </c>
      <c r="F1351">
        <v>0</v>
      </c>
      <c r="G1351">
        <v>679.92921999999999</v>
      </c>
      <c r="I1351">
        <f t="shared" si="84"/>
        <v>0.8601331402616047</v>
      </c>
      <c r="J1351">
        <f t="shared" si="85"/>
        <v>0</v>
      </c>
      <c r="K1351">
        <f t="shared" si="86"/>
        <v>0</v>
      </c>
      <c r="L1351">
        <f t="shared" si="87"/>
        <v>0</v>
      </c>
    </row>
    <row r="1352" spans="1:12" x14ac:dyDescent="0.35">
      <c r="A1352" s="1" t="s">
        <v>30</v>
      </c>
      <c r="B1352">
        <v>2.44294E-2</v>
      </c>
      <c r="C1352">
        <v>1.0499000000000001E-3</v>
      </c>
      <c r="D1352">
        <v>0</v>
      </c>
      <c r="E1352">
        <v>0</v>
      </c>
      <c r="F1352">
        <v>0</v>
      </c>
      <c r="G1352">
        <f>679.92922+0.0244294</f>
        <v>679.95364940000002</v>
      </c>
      <c r="I1352">
        <f t="shared" si="84"/>
        <v>0.8601331402616047</v>
      </c>
      <c r="J1352">
        <f t="shared" si="85"/>
        <v>0</v>
      </c>
      <c r="K1352">
        <f t="shared" si="86"/>
        <v>0</v>
      </c>
      <c r="L1352">
        <f t="shared" si="87"/>
        <v>0</v>
      </c>
    </row>
    <row r="1353" spans="1:12" x14ac:dyDescent="0.35">
      <c r="A1353" s="1" t="s">
        <v>75</v>
      </c>
      <c r="B1353">
        <v>0.40000102700000001</v>
      </c>
      <c r="C1353">
        <v>5.2300999999999997E-3</v>
      </c>
      <c r="D1353">
        <v>-1.5815999999999999</v>
      </c>
      <c r="E1353">
        <v>0</v>
      </c>
      <c r="F1353">
        <v>0</v>
      </c>
      <c r="G1353">
        <v>680.42415000000005</v>
      </c>
      <c r="I1353">
        <f t="shared" si="84"/>
        <v>0.26168536331815889</v>
      </c>
      <c r="J1353">
        <f t="shared" si="85"/>
        <v>-31.653898263125576</v>
      </c>
      <c r="K1353">
        <f t="shared" si="86"/>
        <v>0</v>
      </c>
      <c r="L1353">
        <f t="shared" si="87"/>
        <v>0</v>
      </c>
    </row>
    <row r="1354" spans="1:12" x14ac:dyDescent="0.35">
      <c r="A1354" s="1" t="s">
        <v>76</v>
      </c>
      <c r="B1354">
        <v>0.4975</v>
      </c>
      <c r="C1354">
        <v>0</v>
      </c>
      <c r="D1354">
        <v>4.61414189</v>
      </c>
      <c r="E1354">
        <v>0</v>
      </c>
      <c r="F1354">
        <v>0</v>
      </c>
      <c r="G1354">
        <v>681.18571999999995</v>
      </c>
      <c r="I1354">
        <f t="shared" si="84"/>
        <v>0</v>
      </c>
      <c r="J1354">
        <f t="shared" si="85"/>
        <v>92.346723544313335</v>
      </c>
      <c r="K1354">
        <f t="shared" si="86"/>
        <v>0</v>
      </c>
      <c r="L1354">
        <f t="shared" si="87"/>
        <v>0</v>
      </c>
    </row>
    <row r="1355" spans="1:12" x14ac:dyDescent="0.35">
      <c r="A1355" s="1" t="s">
        <v>77</v>
      </c>
      <c r="B1355">
        <v>1.0280365199999999</v>
      </c>
      <c r="C1355">
        <v>2.4767999999999998E-2</v>
      </c>
      <c r="D1355">
        <v>-1.929</v>
      </c>
      <c r="E1355">
        <v>0</v>
      </c>
      <c r="F1355">
        <v>0</v>
      </c>
      <c r="G1355">
        <v>682.30375000000004</v>
      </c>
      <c r="I1355">
        <f t="shared" si="84"/>
        <v>0.48218416286837618</v>
      </c>
      <c r="J1355">
        <f t="shared" si="85"/>
        <v>-38.606708238220314</v>
      </c>
      <c r="K1355">
        <f t="shared" si="86"/>
        <v>0</v>
      </c>
      <c r="L1355">
        <f t="shared" si="87"/>
        <v>0</v>
      </c>
    </row>
    <row r="1356" spans="1:12" x14ac:dyDescent="0.35">
      <c r="A1356" s="1" t="s">
        <v>78</v>
      </c>
      <c r="B1356">
        <v>0.3745</v>
      </c>
      <c r="C1356">
        <v>0</v>
      </c>
      <c r="D1356">
        <v>4.5116622</v>
      </c>
      <c r="E1356">
        <v>0</v>
      </c>
      <c r="F1356">
        <v>0</v>
      </c>
      <c r="G1356">
        <v>682.76824999999997</v>
      </c>
      <c r="I1356">
        <f t="shared" si="84"/>
        <v>0</v>
      </c>
      <c r="J1356">
        <f t="shared" si="85"/>
        <v>90.29571084748946</v>
      </c>
      <c r="K1356">
        <f t="shared" si="86"/>
        <v>0</v>
      </c>
      <c r="L1356">
        <f t="shared" si="87"/>
        <v>0</v>
      </c>
    </row>
    <row r="1357" spans="1:12" x14ac:dyDescent="0.35">
      <c r="A1357" s="1" t="s">
        <v>35</v>
      </c>
      <c r="B1357">
        <v>0.41782941899999998</v>
      </c>
      <c r="C1357">
        <v>7.6290999999999998E-3</v>
      </c>
      <c r="D1357">
        <v>0</v>
      </c>
      <c r="E1357">
        <v>0</v>
      </c>
      <c r="F1357">
        <v>0</v>
      </c>
      <c r="G1357">
        <v>683.33608000000004</v>
      </c>
      <c r="I1357">
        <f t="shared" si="84"/>
        <v>0.36543053893202671</v>
      </c>
      <c r="J1357">
        <f t="shared" si="85"/>
        <v>0</v>
      </c>
      <c r="K1357">
        <f t="shared" si="86"/>
        <v>0</v>
      </c>
      <c r="L1357">
        <f t="shared" si="87"/>
        <v>0</v>
      </c>
    </row>
    <row r="1358" spans="1:12" x14ac:dyDescent="0.35">
      <c r="A1358" s="1" t="s">
        <v>36</v>
      </c>
      <c r="B1358">
        <v>0.41782864199999997</v>
      </c>
      <c r="C1358">
        <v>5.4992000000000001E-3</v>
      </c>
      <c r="D1358">
        <v>0</v>
      </c>
      <c r="E1358">
        <v>0</v>
      </c>
      <c r="F1358">
        <v>0</v>
      </c>
      <c r="G1358">
        <v>683.75391000000002</v>
      </c>
      <c r="I1358">
        <f t="shared" si="84"/>
        <v>0.26340975432619773</v>
      </c>
      <c r="J1358">
        <f t="shared" si="85"/>
        <v>0</v>
      </c>
      <c r="K1358">
        <f t="shared" si="86"/>
        <v>0</v>
      </c>
      <c r="L1358">
        <f t="shared" si="87"/>
        <v>0</v>
      </c>
    </row>
    <row r="1359" spans="1:12" x14ac:dyDescent="0.35">
      <c r="A1359" s="1" t="s">
        <v>37</v>
      </c>
      <c r="B1359">
        <v>0.41782827500000003</v>
      </c>
      <c r="C1359">
        <v>4.1392E-3</v>
      </c>
      <c r="D1359">
        <v>0</v>
      </c>
      <c r="E1359">
        <v>0</v>
      </c>
      <c r="F1359">
        <v>0</v>
      </c>
      <c r="G1359">
        <v>684.17174</v>
      </c>
      <c r="I1359">
        <f t="shared" si="84"/>
        <v>0.19826640470947862</v>
      </c>
      <c r="J1359">
        <f t="shared" si="85"/>
        <v>0</v>
      </c>
      <c r="K1359">
        <f t="shared" si="86"/>
        <v>0</v>
      </c>
      <c r="L1359">
        <f t="shared" si="87"/>
        <v>0</v>
      </c>
    </row>
    <row r="1360" spans="1:12" x14ac:dyDescent="0.35">
      <c r="A1360" s="1" t="s">
        <v>38</v>
      </c>
      <c r="B1360">
        <v>0.41782808399999999</v>
      </c>
      <c r="C1360">
        <v>3.2192000000000002E-3</v>
      </c>
      <c r="D1360">
        <v>0</v>
      </c>
      <c r="E1360">
        <v>0</v>
      </c>
      <c r="F1360">
        <v>0</v>
      </c>
      <c r="G1360">
        <v>684.58956999999998</v>
      </c>
      <c r="I1360">
        <f t="shared" si="84"/>
        <v>0.15419875865034546</v>
      </c>
      <c r="J1360">
        <f t="shared" si="85"/>
        <v>0</v>
      </c>
      <c r="K1360">
        <f t="shared" si="86"/>
        <v>0</v>
      </c>
      <c r="L1360">
        <f t="shared" si="87"/>
        <v>0</v>
      </c>
    </row>
    <row r="1361" spans="1:12" x14ac:dyDescent="0.35">
      <c r="A1361" s="1" t="s">
        <v>39</v>
      </c>
      <c r="B1361">
        <v>0.41782794400000001</v>
      </c>
      <c r="C1361">
        <v>2.3392E-3</v>
      </c>
      <c r="D1361">
        <v>0</v>
      </c>
      <c r="E1361">
        <v>0</v>
      </c>
      <c r="F1361">
        <v>0</v>
      </c>
      <c r="G1361">
        <v>685.00739999999996</v>
      </c>
      <c r="I1361">
        <f t="shared" si="84"/>
        <v>0.11204704805350077</v>
      </c>
      <c r="J1361">
        <f t="shared" si="85"/>
        <v>0</v>
      </c>
      <c r="K1361">
        <f t="shared" si="86"/>
        <v>0</v>
      </c>
      <c r="L1361">
        <f t="shared" si="87"/>
        <v>0</v>
      </c>
    </row>
    <row r="1362" spans="1:12" x14ac:dyDescent="0.35">
      <c r="A1362" s="1" t="s">
        <v>79</v>
      </c>
      <c r="B1362">
        <v>0.21199999999999999</v>
      </c>
      <c r="C1362">
        <v>0</v>
      </c>
      <c r="D1362">
        <v>-2.53358734</v>
      </c>
      <c r="E1362">
        <v>0</v>
      </c>
      <c r="F1362">
        <v>0</v>
      </c>
      <c r="G1362">
        <v>685.26639999999998</v>
      </c>
      <c r="I1362">
        <f t="shared" si="84"/>
        <v>0</v>
      </c>
      <c r="J1362">
        <f t="shared" si="85"/>
        <v>-50.706825936458621</v>
      </c>
      <c r="K1362">
        <f t="shared" si="86"/>
        <v>0</v>
      </c>
      <c r="L1362">
        <f t="shared" si="87"/>
        <v>0</v>
      </c>
    </row>
    <row r="1363" spans="1:12" x14ac:dyDescent="0.35">
      <c r="A1363" s="1" t="s">
        <v>80</v>
      </c>
      <c r="B1363">
        <v>0.16600000000000001</v>
      </c>
      <c r="C1363">
        <v>0</v>
      </c>
      <c r="D1363">
        <v>0</v>
      </c>
      <c r="E1363">
        <v>-202.23429300000001</v>
      </c>
      <c r="F1363">
        <v>0</v>
      </c>
      <c r="G1363">
        <v>685.50739999999996</v>
      </c>
      <c r="I1363">
        <f t="shared" si="84"/>
        <v>0</v>
      </c>
      <c r="J1363">
        <f t="shared" si="85"/>
        <v>0</v>
      </c>
      <c r="K1363">
        <f t="shared" si="86"/>
        <v>-4047.4859230760812</v>
      </c>
      <c r="L1363">
        <f t="shared" si="87"/>
        <v>0</v>
      </c>
    </row>
    <row r="1364" spans="1:12" x14ac:dyDescent="0.35">
      <c r="A1364" s="1" t="s">
        <v>81</v>
      </c>
      <c r="B1364">
        <v>0.09</v>
      </c>
      <c r="C1364">
        <v>0</v>
      </c>
      <c r="D1364">
        <v>0</v>
      </c>
      <c r="E1364">
        <v>0</v>
      </c>
      <c r="F1364">
        <v>-13632</v>
      </c>
      <c r="G1364">
        <v>686.04825000000005</v>
      </c>
      <c r="I1364">
        <f t="shared" si="84"/>
        <v>0</v>
      </c>
      <c r="J1364">
        <f t="shared" si="85"/>
        <v>0</v>
      </c>
      <c r="K1364">
        <f t="shared" si="86"/>
        <v>0</v>
      </c>
      <c r="L1364">
        <f t="shared" si="87"/>
        <v>-272828.74375501258</v>
      </c>
    </row>
    <row r="1365" spans="1:12" x14ac:dyDescent="0.35">
      <c r="A1365" s="1" t="s">
        <v>82</v>
      </c>
      <c r="B1365">
        <v>0.21199999999999999</v>
      </c>
      <c r="C1365">
        <v>0</v>
      </c>
      <c r="D1365">
        <v>2.47240752</v>
      </c>
      <c r="E1365">
        <v>0</v>
      </c>
      <c r="F1365">
        <v>0</v>
      </c>
      <c r="G1365">
        <v>686.32024999999999</v>
      </c>
      <c r="I1365">
        <f t="shared" si="84"/>
        <v>0</v>
      </c>
      <c r="J1365">
        <f t="shared" si="85"/>
        <v>49.48238246273813</v>
      </c>
      <c r="K1365">
        <f t="shared" si="86"/>
        <v>0</v>
      </c>
      <c r="L1365">
        <f t="shared" si="87"/>
        <v>0</v>
      </c>
    </row>
    <row r="1366" spans="1:12" x14ac:dyDescent="0.35">
      <c r="A1366" s="1" t="s">
        <v>83</v>
      </c>
      <c r="B1366">
        <v>0.1</v>
      </c>
      <c r="C1366">
        <v>0</v>
      </c>
      <c r="D1366">
        <v>0</v>
      </c>
      <c r="E1366">
        <v>172.62799999999999</v>
      </c>
      <c r="F1366">
        <v>0</v>
      </c>
      <c r="G1366">
        <v>686.49525000000006</v>
      </c>
      <c r="I1366">
        <f t="shared" si="84"/>
        <v>0</v>
      </c>
      <c r="J1366">
        <f t="shared" si="85"/>
        <v>0</v>
      </c>
      <c r="K1366">
        <f t="shared" si="86"/>
        <v>3454.9501450220296</v>
      </c>
      <c r="L1366">
        <f t="shared" si="87"/>
        <v>0</v>
      </c>
    </row>
    <row r="1367" spans="1:12" x14ac:dyDescent="0.35">
      <c r="A1367" s="1" t="s">
        <v>83</v>
      </c>
      <c r="B1367">
        <v>0.1</v>
      </c>
      <c r="C1367">
        <v>0</v>
      </c>
      <c r="D1367">
        <v>0</v>
      </c>
      <c r="E1367">
        <v>172.62799999999999</v>
      </c>
      <c r="F1367">
        <v>0</v>
      </c>
      <c r="G1367">
        <f>0.1+686.49525</f>
        <v>686.59525000000008</v>
      </c>
      <c r="I1367">
        <f t="shared" si="84"/>
        <v>0</v>
      </c>
      <c r="J1367">
        <f t="shared" si="85"/>
        <v>0</v>
      </c>
      <c r="K1367">
        <f t="shared" si="86"/>
        <v>3454.9501450220296</v>
      </c>
      <c r="L1367">
        <f t="shared" si="87"/>
        <v>0</v>
      </c>
    </row>
    <row r="1368" spans="1:12" x14ac:dyDescent="0.35">
      <c r="A1368" s="1" t="s">
        <v>84</v>
      </c>
      <c r="B1368">
        <v>0.21199999999999999</v>
      </c>
      <c r="C1368">
        <v>0</v>
      </c>
      <c r="D1368">
        <v>2.47240752</v>
      </c>
      <c r="E1368">
        <v>0</v>
      </c>
      <c r="F1368">
        <v>0</v>
      </c>
      <c r="G1368">
        <v>686.88225</v>
      </c>
      <c r="I1368">
        <f t="shared" si="84"/>
        <v>0</v>
      </c>
      <c r="J1368">
        <f t="shared" si="85"/>
        <v>49.48238246273813</v>
      </c>
      <c r="K1368">
        <f t="shared" si="86"/>
        <v>0</v>
      </c>
      <c r="L1368">
        <f t="shared" si="87"/>
        <v>0</v>
      </c>
    </row>
    <row r="1369" spans="1:12" x14ac:dyDescent="0.35">
      <c r="A1369" s="1" t="s">
        <v>85</v>
      </c>
      <c r="B1369">
        <v>0.16600000000000001</v>
      </c>
      <c r="C1369">
        <v>0</v>
      </c>
      <c r="D1369">
        <v>0</v>
      </c>
      <c r="E1369">
        <v>-132.861086</v>
      </c>
      <c r="F1369">
        <v>0</v>
      </c>
      <c r="G1369">
        <v>687.64909999999998</v>
      </c>
      <c r="I1369">
        <f t="shared" si="84"/>
        <v>0</v>
      </c>
      <c r="J1369">
        <f t="shared" si="85"/>
        <v>0</v>
      </c>
      <c r="K1369">
        <f t="shared" si="86"/>
        <v>-2659.0612666744933</v>
      </c>
      <c r="L1369">
        <f t="shared" si="87"/>
        <v>0</v>
      </c>
    </row>
    <row r="1370" spans="1:12" x14ac:dyDescent="0.35">
      <c r="A1370" s="1" t="s">
        <v>86</v>
      </c>
      <c r="B1370">
        <v>0.21199999999999999</v>
      </c>
      <c r="C1370">
        <v>0</v>
      </c>
      <c r="D1370">
        <v>-2.3709669899999999</v>
      </c>
      <c r="E1370">
        <v>0</v>
      </c>
      <c r="F1370">
        <v>0</v>
      </c>
      <c r="G1370">
        <v>687.93610000000001</v>
      </c>
      <c r="I1370">
        <f t="shared" si="84"/>
        <v>0</v>
      </c>
      <c r="J1370">
        <f t="shared" si="85"/>
        <v>-47.452167353748784</v>
      </c>
      <c r="K1370">
        <f t="shared" si="86"/>
        <v>0</v>
      </c>
      <c r="L1370">
        <f t="shared" si="87"/>
        <v>0</v>
      </c>
    </row>
    <row r="1371" spans="1:12" x14ac:dyDescent="0.35">
      <c r="A1371" s="1" t="s">
        <v>48</v>
      </c>
      <c r="B1371">
        <v>0.41782794400000001</v>
      </c>
      <c r="C1371">
        <v>2.3392E-3</v>
      </c>
      <c r="D1371">
        <v>0</v>
      </c>
      <c r="E1371">
        <v>0</v>
      </c>
      <c r="F1371">
        <v>0</v>
      </c>
      <c r="G1371">
        <v>688.40093000000002</v>
      </c>
      <c r="I1371">
        <f t="shared" si="84"/>
        <v>0.11204704805350077</v>
      </c>
      <c r="J1371">
        <f t="shared" si="85"/>
        <v>0</v>
      </c>
      <c r="K1371">
        <f t="shared" si="86"/>
        <v>0</v>
      </c>
      <c r="L1371">
        <f t="shared" si="87"/>
        <v>0</v>
      </c>
    </row>
    <row r="1372" spans="1:12" x14ac:dyDescent="0.35">
      <c r="A1372" s="1" t="s">
        <v>49</v>
      </c>
      <c r="B1372">
        <v>0.41782808399999999</v>
      </c>
      <c r="C1372">
        <v>3.2192000000000002E-3</v>
      </c>
      <c r="D1372">
        <v>0</v>
      </c>
      <c r="E1372">
        <v>0</v>
      </c>
      <c r="F1372">
        <v>0</v>
      </c>
      <c r="G1372">
        <v>688.81876</v>
      </c>
      <c r="I1372">
        <f t="shared" si="84"/>
        <v>0.15419875865034546</v>
      </c>
      <c r="J1372">
        <f t="shared" si="85"/>
        <v>0</v>
      </c>
      <c r="K1372">
        <f t="shared" si="86"/>
        <v>0</v>
      </c>
      <c r="L1372">
        <f t="shared" si="87"/>
        <v>0</v>
      </c>
    </row>
    <row r="1373" spans="1:12" x14ac:dyDescent="0.35">
      <c r="A1373" s="1" t="s">
        <v>50</v>
      </c>
      <c r="B1373">
        <v>0.41782827500000003</v>
      </c>
      <c r="C1373">
        <v>4.1392E-3</v>
      </c>
      <c r="D1373">
        <v>0</v>
      </c>
      <c r="E1373">
        <v>0</v>
      </c>
      <c r="F1373">
        <v>0</v>
      </c>
      <c r="G1373">
        <v>689.23658999999998</v>
      </c>
      <c r="I1373">
        <f t="shared" si="84"/>
        <v>0.19826640470947862</v>
      </c>
      <c r="J1373">
        <f t="shared" si="85"/>
        <v>0</v>
      </c>
      <c r="K1373">
        <f t="shared" si="86"/>
        <v>0</v>
      </c>
      <c r="L1373">
        <f t="shared" si="87"/>
        <v>0</v>
      </c>
    </row>
    <row r="1374" spans="1:12" x14ac:dyDescent="0.35">
      <c r="A1374" s="1" t="s">
        <v>51</v>
      </c>
      <c r="B1374">
        <v>0.41782864199999997</v>
      </c>
      <c r="C1374">
        <v>5.4992000000000001E-3</v>
      </c>
      <c r="D1374">
        <v>0</v>
      </c>
      <c r="E1374">
        <v>0</v>
      </c>
      <c r="F1374">
        <v>0</v>
      </c>
      <c r="G1374">
        <v>689.65441999999996</v>
      </c>
      <c r="I1374">
        <f t="shared" si="84"/>
        <v>0.26340975432619773</v>
      </c>
      <c r="J1374">
        <f t="shared" si="85"/>
        <v>0</v>
      </c>
      <c r="K1374">
        <f t="shared" si="86"/>
        <v>0</v>
      </c>
      <c r="L1374">
        <f t="shared" si="87"/>
        <v>0</v>
      </c>
    </row>
    <row r="1375" spans="1:12" x14ac:dyDescent="0.35">
      <c r="A1375" s="1" t="s">
        <v>52</v>
      </c>
      <c r="B1375">
        <v>0.41783028900000002</v>
      </c>
      <c r="C1375">
        <v>9.4690999999999994E-3</v>
      </c>
      <c r="D1375">
        <v>0</v>
      </c>
      <c r="E1375">
        <v>0</v>
      </c>
      <c r="F1375">
        <v>0</v>
      </c>
      <c r="G1375">
        <v>690.07225000000005</v>
      </c>
      <c r="I1375">
        <f t="shared" si="84"/>
        <v>0.45356478630764774</v>
      </c>
      <c r="J1375">
        <f t="shared" si="85"/>
        <v>0</v>
      </c>
      <c r="K1375">
        <f t="shared" si="86"/>
        <v>0</v>
      </c>
      <c r="L1375">
        <f t="shared" si="87"/>
        <v>0</v>
      </c>
    </row>
    <row r="1376" spans="1:12" x14ac:dyDescent="0.35">
      <c r="A1376" s="1" t="s">
        <v>87</v>
      </c>
      <c r="B1376">
        <v>0.16200000000000001</v>
      </c>
      <c r="C1376">
        <v>0</v>
      </c>
      <c r="D1376">
        <v>-2.8698264299999998</v>
      </c>
      <c r="E1376">
        <v>0</v>
      </c>
      <c r="F1376">
        <v>0</v>
      </c>
      <c r="G1376">
        <v>690.28125</v>
      </c>
      <c r="I1376">
        <f t="shared" si="84"/>
        <v>0</v>
      </c>
      <c r="J1376">
        <f t="shared" si="85"/>
        <v>-57.436263181619168</v>
      </c>
      <c r="K1376">
        <f t="shared" si="86"/>
        <v>0</v>
      </c>
      <c r="L1376">
        <f t="shared" si="87"/>
        <v>0</v>
      </c>
    </row>
    <row r="1377" spans="1:12" x14ac:dyDescent="0.35">
      <c r="A1377" s="1" t="s">
        <v>54</v>
      </c>
      <c r="B1377">
        <v>0.1</v>
      </c>
      <c r="C1377">
        <v>0</v>
      </c>
      <c r="D1377">
        <v>0</v>
      </c>
      <c r="E1377">
        <v>0</v>
      </c>
      <c r="F1377">
        <v>0</v>
      </c>
      <c r="G1377">
        <v>690.61125000000004</v>
      </c>
      <c r="I1377">
        <f t="shared" si="84"/>
        <v>0</v>
      </c>
      <c r="J1377">
        <f t="shared" si="85"/>
        <v>0</v>
      </c>
      <c r="K1377">
        <f t="shared" si="86"/>
        <v>0</v>
      </c>
      <c r="L1377">
        <f t="shared" si="87"/>
        <v>0</v>
      </c>
    </row>
    <row r="1378" spans="1:12" x14ac:dyDescent="0.35">
      <c r="A1378" s="1" t="s">
        <v>88</v>
      </c>
      <c r="B1378">
        <v>0.29499999999999998</v>
      </c>
      <c r="C1378">
        <v>0</v>
      </c>
      <c r="D1378">
        <v>2.43875777</v>
      </c>
      <c r="E1378">
        <v>0</v>
      </c>
      <c r="F1378">
        <v>0</v>
      </c>
      <c r="G1378">
        <v>691.01625000000001</v>
      </c>
      <c r="I1378">
        <f t="shared" si="84"/>
        <v>0</v>
      </c>
      <c r="J1378">
        <f t="shared" si="85"/>
        <v>48.808921560436907</v>
      </c>
      <c r="K1378">
        <f t="shared" si="86"/>
        <v>0</v>
      </c>
      <c r="L1378">
        <f t="shared" si="87"/>
        <v>0</v>
      </c>
    </row>
    <row r="1379" spans="1:12" x14ac:dyDescent="0.35">
      <c r="A1379" s="1" t="s">
        <v>56</v>
      </c>
      <c r="B1379">
        <v>0.29499999999999998</v>
      </c>
      <c r="C1379">
        <v>0</v>
      </c>
      <c r="D1379">
        <v>2.43875777</v>
      </c>
      <c r="E1379">
        <v>0</v>
      </c>
      <c r="F1379">
        <v>0</v>
      </c>
      <c r="G1379">
        <v>696.88940000000002</v>
      </c>
      <c r="I1379">
        <f t="shared" si="84"/>
        <v>0</v>
      </c>
      <c r="J1379">
        <f t="shared" si="85"/>
        <v>48.808921560436907</v>
      </c>
      <c r="K1379">
        <f t="shared" si="86"/>
        <v>0</v>
      </c>
      <c r="L1379">
        <f t="shared" si="87"/>
        <v>0</v>
      </c>
    </row>
    <row r="1380" spans="1:12" x14ac:dyDescent="0.35">
      <c r="A1380" s="1" t="s">
        <v>2</v>
      </c>
      <c r="B1380">
        <v>0.1</v>
      </c>
      <c r="C1380">
        <v>0</v>
      </c>
      <c r="D1380">
        <v>0</v>
      </c>
      <c r="E1380">
        <v>0</v>
      </c>
      <c r="F1380">
        <v>0</v>
      </c>
      <c r="G1380">
        <v>697.09939999999995</v>
      </c>
      <c r="I1380">
        <f t="shared" si="84"/>
        <v>0</v>
      </c>
      <c r="J1380">
        <f t="shared" si="85"/>
        <v>0</v>
      </c>
      <c r="K1380">
        <f t="shared" si="86"/>
        <v>0</v>
      </c>
      <c r="L1380">
        <f t="shared" si="87"/>
        <v>0</v>
      </c>
    </row>
    <row r="1381" spans="1:12" x14ac:dyDescent="0.35">
      <c r="A1381" s="1" t="s">
        <v>57</v>
      </c>
      <c r="B1381">
        <v>0.16200000000000001</v>
      </c>
      <c r="C1381">
        <v>0</v>
      </c>
      <c r="D1381">
        <v>-2.8698264299999998</v>
      </c>
      <c r="E1381">
        <v>0</v>
      </c>
      <c r="F1381">
        <v>0</v>
      </c>
      <c r="G1381">
        <v>697.4914</v>
      </c>
      <c r="I1381">
        <f t="shared" si="84"/>
        <v>0</v>
      </c>
      <c r="J1381">
        <f t="shared" si="85"/>
        <v>-57.436263181619168</v>
      </c>
      <c r="K1381">
        <f t="shared" si="86"/>
        <v>0</v>
      </c>
      <c r="L1381">
        <f t="shared" si="87"/>
        <v>0</v>
      </c>
    </row>
    <row r="1382" spans="1:12" x14ac:dyDescent="0.35">
      <c r="A1382" s="1" t="s">
        <v>58</v>
      </c>
      <c r="B1382">
        <v>0.41783028900000002</v>
      </c>
      <c r="C1382">
        <v>9.4690999999999994E-3</v>
      </c>
      <c r="D1382">
        <v>0</v>
      </c>
      <c r="E1382">
        <v>0</v>
      </c>
      <c r="F1382">
        <v>0</v>
      </c>
      <c r="G1382">
        <v>697.95623000000001</v>
      </c>
      <c r="I1382">
        <f t="shared" si="84"/>
        <v>0.45356478630764774</v>
      </c>
      <c r="J1382">
        <f t="shared" si="85"/>
        <v>0</v>
      </c>
      <c r="K1382">
        <f t="shared" si="86"/>
        <v>0</v>
      </c>
      <c r="L1382">
        <f t="shared" si="87"/>
        <v>0</v>
      </c>
    </row>
    <row r="1383" spans="1:12" x14ac:dyDescent="0.35">
      <c r="A1383" s="1" t="s">
        <v>59</v>
      </c>
      <c r="B1383">
        <v>0.41782864199999997</v>
      </c>
      <c r="C1383">
        <v>5.4992000000000001E-3</v>
      </c>
      <c r="D1383">
        <v>0</v>
      </c>
      <c r="E1383">
        <v>0</v>
      </c>
      <c r="F1383">
        <v>0</v>
      </c>
      <c r="G1383">
        <v>698.37405999999999</v>
      </c>
      <c r="I1383">
        <f t="shared" si="84"/>
        <v>0.26340975432619773</v>
      </c>
      <c r="J1383">
        <f t="shared" si="85"/>
        <v>0</v>
      </c>
      <c r="K1383">
        <f t="shared" si="86"/>
        <v>0</v>
      </c>
      <c r="L1383">
        <f t="shared" si="87"/>
        <v>0</v>
      </c>
    </row>
    <row r="1384" spans="1:12" x14ac:dyDescent="0.35">
      <c r="A1384" s="1" t="s">
        <v>60</v>
      </c>
      <c r="B1384">
        <v>0.41782827500000003</v>
      </c>
      <c r="C1384">
        <v>4.1392E-3</v>
      </c>
      <c r="D1384">
        <v>0</v>
      </c>
      <c r="E1384">
        <v>0</v>
      </c>
      <c r="F1384">
        <v>0</v>
      </c>
      <c r="G1384">
        <v>698.79188999999997</v>
      </c>
      <c r="I1384">
        <f t="shared" si="84"/>
        <v>0.19826640470947862</v>
      </c>
      <c r="J1384">
        <f t="shared" si="85"/>
        <v>0</v>
      </c>
      <c r="K1384">
        <f t="shared" si="86"/>
        <v>0</v>
      </c>
      <c r="L1384">
        <f t="shared" si="87"/>
        <v>0</v>
      </c>
    </row>
    <row r="1385" spans="1:12" x14ac:dyDescent="0.35">
      <c r="A1385" s="1" t="s">
        <v>61</v>
      </c>
      <c r="B1385">
        <v>0.41782808399999999</v>
      </c>
      <c r="C1385">
        <v>3.2192000000000002E-3</v>
      </c>
      <c r="D1385">
        <v>0</v>
      </c>
      <c r="E1385">
        <v>0</v>
      </c>
      <c r="F1385">
        <v>0</v>
      </c>
      <c r="G1385">
        <v>699.20970999999997</v>
      </c>
      <c r="I1385">
        <f t="shared" si="84"/>
        <v>0.15419875865034546</v>
      </c>
      <c r="J1385">
        <f t="shared" si="85"/>
        <v>0</v>
      </c>
      <c r="K1385">
        <f t="shared" si="86"/>
        <v>0</v>
      </c>
      <c r="L1385">
        <f t="shared" si="87"/>
        <v>0</v>
      </c>
    </row>
    <row r="1386" spans="1:12" x14ac:dyDescent="0.35">
      <c r="A1386" s="1" t="s">
        <v>62</v>
      </c>
      <c r="B1386">
        <v>0.41782794400000001</v>
      </c>
      <c r="C1386">
        <v>2.3392E-3</v>
      </c>
      <c r="D1386">
        <v>0</v>
      </c>
      <c r="E1386">
        <v>0</v>
      </c>
      <c r="F1386">
        <v>0</v>
      </c>
      <c r="G1386">
        <v>699.62753999999995</v>
      </c>
      <c r="I1386">
        <f t="shared" si="84"/>
        <v>0.11204704805350077</v>
      </c>
      <c r="J1386">
        <f t="shared" si="85"/>
        <v>0</v>
      </c>
      <c r="K1386">
        <f t="shared" si="86"/>
        <v>0</v>
      </c>
      <c r="L1386">
        <f t="shared" si="87"/>
        <v>0</v>
      </c>
    </row>
    <row r="1387" spans="1:12" x14ac:dyDescent="0.35">
      <c r="A1387" s="1" t="s">
        <v>63</v>
      </c>
      <c r="B1387">
        <v>0.21199999999999999</v>
      </c>
      <c r="C1387">
        <v>0</v>
      </c>
      <c r="D1387">
        <v>-2.3709669899999999</v>
      </c>
      <c r="E1387">
        <v>0</v>
      </c>
      <c r="F1387">
        <v>0</v>
      </c>
      <c r="G1387">
        <v>699.88653999999997</v>
      </c>
      <c r="I1387">
        <f t="shared" si="84"/>
        <v>0</v>
      </c>
      <c r="J1387">
        <f t="shared" si="85"/>
        <v>-47.452167353748784</v>
      </c>
      <c r="K1387">
        <f t="shared" si="86"/>
        <v>0</v>
      </c>
      <c r="L1387">
        <f t="shared" si="87"/>
        <v>0</v>
      </c>
    </row>
    <row r="1388" spans="1:12" x14ac:dyDescent="0.35">
      <c r="A1388" s="1" t="s">
        <v>64</v>
      </c>
      <c r="B1388">
        <v>0.16600000000000001</v>
      </c>
      <c r="C1388">
        <v>0</v>
      </c>
      <c r="D1388">
        <v>0</v>
      </c>
      <c r="E1388">
        <v>-132.861086</v>
      </c>
      <c r="F1388">
        <v>0</v>
      </c>
      <c r="G1388">
        <v>700.12753999999995</v>
      </c>
      <c r="I1388">
        <f t="shared" si="84"/>
        <v>0</v>
      </c>
      <c r="J1388">
        <f t="shared" si="85"/>
        <v>0</v>
      </c>
      <c r="K1388">
        <f t="shared" si="86"/>
        <v>-2659.0612666744933</v>
      </c>
      <c r="L1388">
        <f t="shared" si="87"/>
        <v>0</v>
      </c>
    </row>
    <row r="1389" spans="1:12" x14ac:dyDescent="0.35">
      <c r="A1389" s="1" t="s">
        <v>65</v>
      </c>
      <c r="B1389">
        <v>0.21199999999999999</v>
      </c>
      <c r="C1389">
        <v>0</v>
      </c>
      <c r="D1389">
        <v>2.47240752</v>
      </c>
      <c r="E1389">
        <v>0</v>
      </c>
      <c r="F1389">
        <v>0</v>
      </c>
      <c r="G1389">
        <v>700.94039999999995</v>
      </c>
      <c r="I1389">
        <f t="shared" si="84"/>
        <v>0</v>
      </c>
      <c r="J1389">
        <f t="shared" si="85"/>
        <v>49.48238246273813</v>
      </c>
      <c r="K1389">
        <f t="shared" si="86"/>
        <v>0</v>
      </c>
      <c r="L1389">
        <f t="shared" si="87"/>
        <v>0</v>
      </c>
    </row>
    <row r="1390" spans="1:12" x14ac:dyDescent="0.35">
      <c r="A1390" s="1" t="s">
        <v>66</v>
      </c>
      <c r="B1390">
        <v>0.1</v>
      </c>
      <c r="C1390">
        <v>0</v>
      </c>
      <c r="D1390">
        <v>0</v>
      </c>
      <c r="E1390">
        <v>172.62799999999999</v>
      </c>
      <c r="F1390">
        <v>0</v>
      </c>
      <c r="G1390">
        <v>701.11540000000002</v>
      </c>
      <c r="I1390">
        <f t="shared" si="84"/>
        <v>0</v>
      </c>
      <c r="J1390">
        <f t="shared" si="85"/>
        <v>0</v>
      </c>
      <c r="K1390">
        <f t="shared" si="86"/>
        <v>3454.9501450220296</v>
      </c>
      <c r="L1390">
        <f t="shared" si="87"/>
        <v>0</v>
      </c>
    </row>
    <row r="1391" spans="1:12" x14ac:dyDescent="0.35">
      <c r="A1391" s="1" t="s">
        <v>66</v>
      </c>
      <c r="B1391">
        <v>0.1</v>
      </c>
      <c r="C1391">
        <v>0</v>
      </c>
      <c r="D1391">
        <v>0</v>
      </c>
      <c r="E1391">
        <v>172.62799999999999</v>
      </c>
      <c r="F1391">
        <v>0</v>
      </c>
      <c r="G1391">
        <f>701.1154+0.1</f>
        <v>701.21540000000005</v>
      </c>
      <c r="I1391">
        <f t="shared" si="84"/>
        <v>0</v>
      </c>
      <c r="J1391">
        <f t="shared" si="85"/>
        <v>0</v>
      </c>
      <c r="K1391">
        <f t="shared" si="86"/>
        <v>3454.9501450220296</v>
      </c>
      <c r="L1391">
        <f t="shared" si="87"/>
        <v>0</v>
      </c>
    </row>
    <row r="1392" spans="1:12" x14ac:dyDescent="0.35">
      <c r="A1392" s="1" t="s">
        <v>67</v>
      </c>
      <c r="B1392">
        <v>0.21199999999999999</v>
      </c>
      <c r="C1392">
        <v>0</v>
      </c>
      <c r="D1392">
        <v>2.47240752</v>
      </c>
      <c r="E1392">
        <v>0</v>
      </c>
      <c r="F1392">
        <v>0</v>
      </c>
      <c r="G1392">
        <v>701.50239999999997</v>
      </c>
      <c r="I1392">
        <f t="shared" si="84"/>
        <v>0</v>
      </c>
      <c r="J1392">
        <f t="shared" si="85"/>
        <v>49.48238246273813</v>
      </c>
      <c r="K1392">
        <f t="shared" si="86"/>
        <v>0</v>
      </c>
      <c r="L1392">
        <f t="shared" si="87"/>
        <v>0</v>
      </c>
    </row>
    <row r="1393" spans="1:12" x14ac:dyDescent="0.35">
      <c r="A1393" s="1" t="s">
        <v>68</v>
      </c>
      <c r="B1393">
        <v>0.09</v>
      </c>
      <c r="C1393">
        <v>0</v>
      </c>
      <c r="D1393">
        <v>0</v>
      </c>
      <c r="E1393">
        <v>0</v>
      </c>
      <c r="F1393">
        <v>-13632</v>
      </c>
      <c r="G1393">
        <v>701.65239999999994</v>
      </c>
      <c r="I1393">
        <f t="shared" si="84"/>
        <v>0</v>
      </c>
      <c r="J1393">
        <f t="shared" si="85"/>
        <v>0</v>
      </c>
      <c r="K1393">
        <f t="shared" si="86"/>
        <v>0</v>
      </c>
      <c r="L1393">
        <f t="shared" si="87"/>
        <v>-272828.74375501258</v>
      </c>
    </row>
    <row r="1394" spans="1:12" x14ac:dyDescent="0.35">
      <c r="A1394" s="1" t="s">
        <v>69</v>
      </c>
      <c r="B1394">
        <v>0.16600000000000001</v>
      </c>
      <c r="C1394">
        <v>0</v>
      </c>
      <c r="D1394">
        <v>0</v>
      </c>
      <c r="E1394">
        <v>-202.23429300000001</v>
      </c>
      <c r="F1394">
        <v>0</v>
      </c>
      <c r="G1394">
        <v>702.26925000000006</v>
      </c>
      <c r="I1394">
        <f t="shared" si="84"/>
        <v>0</v>
      </c>
      <c r="J1394">
        <f t="shared" si="85"/>
        <v>0</v>
      </c>
      <c r="K1394">
        <f t="shared" si="86"/>
        <v>-4047.4859230760812</v>
      </c>
      <c r="L1394">
        <f t="shared" si="87"/>
        <v>0</v>
      </c>
    </row>
    <row r="1395" spans="1:12" x14ac:dyDescent="0.35">
      <c r="A1395" s="1" t="s">
        <v>70</v>
      </c>
      <c r="B1395">
        <v>0.21199999999999999</v>
      </c>
      <c r="C1395">
        <v>0</v>
      </c>
      <c r="D1395">
        <v>-2.53358734</v>
      </c>
      <c r="E1395">
        <v>0</v>
      </c>
      <c r="F1395">
        <v>0</v>
      </c>
      <c r="G1395">
        <v>702.55624999999998</v>
      </c>
      <c r="I1395">
        <f t="shared" si="84"/>
        <v>0</v>
      </c>
      <c r="J1395">
        <f t="shared" si="85"/>
        <v>-50.706825936458621</v>
      </c>
      <c r="K1395">
        <f t="shared" si="86"/>
        <v>0</v>
      </c>
      <c r="L1395">
        <f t="shared" si="87"/>
        <v>0</v>
      </c>
    </row>
    <row r="1396" spans="1:12" x14ac:dyDescent="0.35">
      <c r="A1396" s="1" t="s">
        <v>20</v>
      </c>
      <c r="B1396">
        <v>0.41782794400000001</v>
      </c>
      <c r="C1396">
        <v>2.3392E-3</v>
      </c>
      <c r="D1396">
        <v>0</v>
      </c>
      <c r="E1396">
        <v>0</v>
      </c>
      <c r="F1396">
        <v>0</v>
      </c>
      <c r="G1396">
        <v>703.02107999999998</v>
      </c>
      <c r="I1396">
        <f t="shared" si="84"/>
        <v>0.11204704805350077</v>
      </c>
      <c r="J1396">
        <f t="shared" si="85"/>
        <v>0</v>
      </c>
      <c r="K1396">
        <f t="shared" si="86"/>
        <v>0</v>
      </c>
      <c r="L1396">
        <f t="shared" si="87"/>
        <v>0</v>
      </c>
    </row>
    <row r="1397" spans="1:12" x14ac:dyDescent="0.35">
      <c r="A1397" s="1" t="s">
        <v>21</v>
      </c>
      <c r="B1397">
        <v>0.41782808399999999</v>
      </c>
      <c r="C1397">
        <v>3.2192000000000002E-3</v>
      </c>
      <c r="D1397">
        <v>0</v>
      </c>
      <c r="E1397">
        <v>0</v>
      </c>
      <c r="F1397">
        <v>0</v>
      </c>
      <c r="G1397">
        <v>703.43889999999999</v>
      </c>
      <c r="I1397">
        <f t="shared" si="84"/>
        <v>0.15419875865034546</v>
      </c>
      <c r="J1397">
        <f t="shared" si="85"/>
        <v>0</v>
      </c>
      <c r="K1397">
        <f t="shared" si="86"/>
        <v>0</v>
      </c>
      <c r="L1397">
        <f t="shared" si="87"/>
        <v>0</v>
      </c>
    </row>
    <row r="1398" spans="1:12" x14ac:dyDescent="0.35">
      <c r="A1398" s="1" t="s">
        <v>22</v>
      </c>
      <c r="B1398">
        <v>0.41782827500000003</v>
      </c>
      <c r="C1398">
        <v>4.1392E-3</v>
      </c>
      <c r="D1398">
        <v>0</v>
      </c>
      <c r="E1398">
        <v>0</v>
      </c>
      <c r="F1398">
        <v>0</v>
      </c>
      <c r="G1398">
        <v>703.85672999999997</v>
      </c>
      <c r="I1398">
        <f t="shared" si="84"/>
        <v>0.19826640470947862</v>
      </c>
      <c r="J1398">
        <f t="shared" si="85"/>
        <v>0</v>
      </c>
      <c r="K1398">
        <f t="shared" si="86"/>
        <v>0</v>
      </c>
      <c r="L1398">
        <f t="shared" si="87"/>
        <v>0</v>
      </c>
    </row>
    <row r="1399" spans="1:12" x14ac:dyDescent="0.35">
      <c r="A1399" s="1" t="s">
        <v>23</v>
      </c>
      <c r="B1399">
        <v>0.41782864199999997</v>
      </c>
      <c r="C1399">
        <v>5.4992000000000001E-3</v>
      </c>
      <c r="D1399">
        <v>0</v>
      </c>
      <c r="E1399">
        <v>0</v>
      </c>
      <c r="F1399">
        <v>0</v>
      </c>
      <c r="G1399">
        <v>704.27455999999995</v>
      </c>
      <c r="I1399">
        <f t="shared" si="84"/>
        <v>0.26340975432619773</v>
      </c>
      <c r="J1399">
        <f t="shared" si="85"/>
        <v>0</v>
      </c>
      <c r="K1399">
        <f t="shared" si="86"/>
        <v>0</v>
      </c>
      <c r="L1399">
        <f t="shared" si="87"/>
        <v>0</v>
      </c>
    </row>
    <row r="1400" spans="1:12" x14ac:dyDescent="0.35">
      <c r="A1400" s="1" t="s">
        <v>24</v>
      </c>
      <c r="B1400">
        <v>0.41782941899999998</v>
      </c>
      <c r="C1400">
        <v>7.6290999999999998E-3</v>
      </c>
      <c r="D1400">
        <v>0</v>
      </c>
      <c r="E1400">
        <v>0</v>
      </c>
      <c r="F1400">
        <v>0</v>
      </c>
      <c r="G1400">
        <v>704.69239000000005</v>
      </c>
      <c r="I1400">
        <f t="shared" si="84"/>
        <v>0.36543053893202671</v>
      </c>
      <c r="J1400">
        <f t="shared" si="85"/>
        <v>0</v>
      </c>
      <c r="K1400">
        <f t="shared" si="86"/>
        <v>0</v>
      </c>
      <c r="L1400">
        <f t="shared" si="87"/>
        <v>0</v>
      </c>
    </row>
    <row r="1401" spans="1:12" x14ac:dyDescent="0.35">
      <c r="A1401" s="1" t="s">
        <v>71</v>
      </c>
      <c r="B1401">
        <v>0.3745</v>
      </c>
      <c r="C1401">
        <v>0</v>
      </c>
      <c r="D1401">
        <v>4.5116622</v>
      </c>
      <c r="E1401">
        <v>0</v>
      </c>
      <c r="F1401">
        <v>0</v>
      </c>
      <c r="G1401">
        <v>705.21689000000003</v>
      </c>
      <c r="I1401">
        <f t="shared" si="84"/>
        <v>0</v>
      </c>
      <c r="J1401">
        <f t="shared" si="85"/>
        <v>90.29571084748946</v>
      </c>
      <c r="K1401">
        <f t="shared" si="86"/>
        <v>0</v>
      </c>
      <c r="L1401">
        <f t="shared" si="87"/>
        <v>0</v>
      </c>
    </row>
    <row r="1402" spans="1:12" x14ac:dyDescent="0.35">
      <c r="A1402" s="1" t="s">
        <v>72</v>
      </c>
      <c r="B1402">
        <v>1.0280365199999999</v>
      </c>
      <c r="C1402">
        <v>2.4767999999999998E-2</v>
      </c>
      <c r="D1402">
        <v>-1.929</v>
      </c>
      <c r="E1402">
        <v>0</v>
      </c>
      <c r="F1402">
        <v>0</v>
      </c>
      <c r="G1402">
        <v>706.33492999999999</v>
      </c>
      <c r="I1402">
        <f t="shared" si="84"/>
        <v>0.48218416286837618</v>
      </c>
      <c r="J1402">
        <f t="shared" si="85"/>
        <v>-38.606708238220314</v>
      </c>
      <c r="K1402">
        <f t="shared" si="86"/>
        <v>0</v>
      </c>
      <c r="L1402">
        <f t="shared" si="87"/>
        <v>0</v>
      </c>
    </row>
    <row r="1403" spans="1:12" x14ac:dyDescent="0.35">
      <c r="A1403" s="1" t="s">
        <v>73</v>
      </c>
      <c r="B1403">
        <v>0.4975</v>
      </c>
      <c r="C1403">
        <v>0</v>
      </c>
      <c r="D1403">
        <v>4.61414189</v>
      </c>
      <c r="E1403">
        <v>0</v>
      </c>
      <c r="F1403">
        <v>0</v>
      </c>
      <c r="G1403">
        <v>706.92242999999996</v>
      </c>
      <c r="I1403">
        <f t="shared" si="84"/>
        <v>0</v>
      </c>
      <c r="J1403">
        <f t="shared" si="85"/>
        <v>92.346723544313335</v>
      </c>
      <c r="K1403">
        <f t="shared" si="86"/>
        <v>0</v>
      </c>
      <c r="L1403">
        <f t="shared" si="87"/>
        <v>0</v>
      </c>
    </row>
    <row r="1404" spans="1:12" x14ac:dyDescent="0.35">
      <c r="A1404" s="1" t="s">
        <v>28</v>
      </c>
      <c r="B1404">
        <v>0.1</v>
      </c>
      <c r="C1404">
        <v>0</v>
      </c>
      <c r="D1404">
        <v>0</v>
      </c>
      <c r="E1404">
        <v>0</v>
      </c>
      <c r="F1404">
        <v>0</v>
      </c>
      <c r="G1404">
        <v>707.09349999999995</v>
      </c>
      <c r="I1404">
        <f t="shared" si="84"/>
        <v>0</v>
      </c>
      <c r="J1404">
        <f t="shared" si="85"/>
        <v>0</v>
      </c>
      <c r="K1404">
        <f t="shared" si="86"/>
        <v>0</v>
      </c>
      <c r="L1404">
        <f t="shared" si="87"/>
        <v>0</v>
      </c>
    </row>
    <row r="1405" spans="1:12" x14ac:dyDescent="0.35">
      <c r="A1405" s="1" t="s">
        <v>74</v>
      </c>
      <c r="B1405">
        <v>0.40000102700000001</v>
      </c>
      <c r="C1405">
        <v>5.2300999999999997E-3</v>
      </c>
      <c r="D1405">
        <v>-1.5815999999999999</v>
      </c>
      <c r="E1405">
        <v>0</v>
      </c>
      <c r="F1405">
        <v>0</v>
      </c>
      <c r="G1405">
        <v>707.5865</v>
      </c>
      <c r="I1405">
        <f t="shared" si="84"/>
        <v>0.26168536331815889</v>
      </c>
      <c r="J1405">
        <f t="shared" si="85"/>
        <v>-31.653898263125576</v>
      </c>
      <c r="K1405">
        <f t="shared" si="86"/>
        <v>0</v>
      </c>
      <c r="L1405">
        <f t="shared" si="87"/>
        <v>0</v>
      </c>
    </row>
    <row r="1406" spans="1:12" x14ac:dyDescent="0.35">
      <c r="A1406" s="1" t="s">
        <v>30</v>
      </c>
      <c r="B1406">
        <v>2.44294E-2</v>
      </c>
      <c r="C1406">
        <v>1.0499000000000001E-3</v>
      </c>
      <c r="D1406">
        <v>0</v>
      </c>
      <c r="E1406">
        <v>0</v>
      </c>
      <c r="F1406">
        <v>0</v>
      </c>
      <c r="G1406">
        <v>707.68142999999998</v>
      </c>
      <c r="I1406">
        <f t="shared" si="84"/>
        <v>0.8601331402616047</v>
      </c>
      <c r="J1406">
        <f t="shared" si="85"/>
        <v>0</v>
      </c>
      <c r="K1406">
        <f t="shared" si="86"/>
        <v>0</v>
      </c>
      <c r="L1406">
        <f t="shared" si="87"/>
        <v>0</v>
      </c>
    </row>
    <row r="1407" spans="1:12" x14ac:dyDescent="0.35">
      <c r="A1407" s="1" t="s">
        <v>30</v>
      </c>
      <c r="B1407">
        <v>2.44294E-2</v>
      </c>
      <c r="C1407">
        <v>1.0499000000000001E-3</v>
      </c>
      <c r="D1407">
        <v>0</v>
      </c>
      <c r="E1407">
        <v>0</v>
      </c>
      <c r="F1407">
        <v>0</v>
      </c>
      <c r="G1407">
        <f>707.68143+0.0244294</f>
        <v>707.70585940000001</v>
      </c>
      <c r="I1407">
        <f t="shared" si="84"/>
        <v>0.8601331402616047</v>
      </c>
      <c r="J1407">
        <f t="shared" si="85"/>
        <v>0</v>
      </c>
      <c r="K1407">
        <f t="shared" si="86"/>
        <v>0</v>
      </c>
      <c r="L1407">
        <f t="shared" si="87"/>
        <v>0</v>
      </c>
    </row>
    <row r="1408" spans="1:12" x14ac:dyDescent="0.35">
      <c r="A1408" s="1" t="s">
        <v>75</v>
      </c>
      <c r="B1408">
        <v>0.40000102700000001</v>
      </c>
      <c r="C1408">
        <v>5.2300999999999997E-3</v>
      </c>
      <c r="D1408">
        <v>-1.5815999999999999</v>
      </c>
      <c r="E1408">
        <v>0</v>
      </c>
      <c r="F1408">
        <v>0</v>
      </c>
      <c r="G1408">
        <v>708.17636000000005</v>
      </c>
      <c r="I1408">
        <f t="shared" si="84"/>
        <v>0.26168536331815889</v>
      </c>
      <c r="J1408">
        <f t="shared" si="85"/>
        <v>-31.653898263125576</v>
      </c>
      <c r="K1408">
        <f t="shared" si="86"/>
        <v>0</v>
      </c>
      <c r="L1408">
        <f t="shared" si="87"/>
        <v>0</v>
      </c>
    </row>
    <row r="1409" spans="1:12" x14ac:dyDescent="0.35">
      <c r="A1409" s="1" t="s">
        <v>76</v>
      </c>
      <c r="B1409">
        <v>0.4975</v>
      </c>
      <c r="C1409">
        <v>0</v>
      </c>
      <c r="D1409">
        <v>4.61414189</v>
      </c>
      <c r="E1409">
        <v>0</v>
      </c>
      <c r="F1409">
        <v>0</v>
      </c>
      <c r="G1409">
        <v>708.93793000000005</v>
      </c>
      <c r="I1409">
        <f t="shared" si="84"/>
        <v>0</v>
      </c>
      <c r="J1409">
        <f t="shared" si="85"/>
        <v>92.346723544313335</v>
      </c>
      <c r="K1409">
        <f t="shared" si="86"/>
        <v>0</v>
      </c>
      <c r="L1409">
        <f t="shared" si="87"/>
        <v>0</v>
      </c>
    </row>
    <row r="1410" spans="1:12" x14ac:dyDescent="0.35">
      <c r="A1410" s="1" t="s">
        <v>77</v>
      </c>
      <c r="B1410">
        <v>1.0280365199999999</v>
      </c>
      <c r="C1410">
        <v>2.4767999999999998E-2</v>
      </c>
      <c r="D1410">
        <v>-1.929</v>
      </c>
      <c r="E1410">
        <v>0</v>
      </c>
      <c r="F1410">
        <v>0</v>
      </c>
      <c r="G1410">
        <v>710.05597</v>
      </c>
      <c r="I1410">
        <f t="shared" si="84"/>
        <v>0.48218416286837618</v>
      </c>
      <c r="J1410">
        <f t="shared" si="85"/>
        <v>-38.606708238220314</v>
      </c>
      <c r="K1410">
        <f t="shared" si="86"/>
        <v>0</v>
      </c>
      <c r="L1410">
        <f t="shared" si="87"/>
        <v>0</v>
      </c>
    </row>
    <row r="1411" spans="1:12" x14ac:dyDescent="0.35">
      <c r="A1411" s="1" t="s">
        <v>78</v>
      </c>
      <c r="B1411">
        <v>0.3745</v>
      </c>
      <c r="C1411">
        <v>0</v>
      </c>
      <c r="D1411">
        <v>4.5116622</v>
      </c>
      <c r="E1411">
        <v>0</v>
      </c>
      <c r="F1411">
        <v>0</v>
      </c>
      <c r="G1411">
        <v>710.52047000000005</v>
      </c>
      <c r="I1411">
        <f t="shared" si="84"/>
        <v>0</v>
      </c>
      <c r="J1411">
        <f t="shared" si="85"/>
        <v>90.29571084748946</v>
      </c>
      <c r="K1411">
        <f t="shared" si="86"/>
        <v>0</v>
      </c>
      <c r="L1411">
        <f t="shared" si="87"/>
        <v>0</v>
      </c>
    </row>
    <row r="1412" spans="1:12" x14ac:dyDescent="0.35">
      <c r="A1412" s="1" t="s">
        <v>35</v>
      </c>
      <c r="B1412">
        <v>0.41782941899999998</v>
      </c>
      <c r="C1412">
        <v>7.6290999999999998E-3</v>
      </c>
      <c r="D1412">
        <v>0</v>
      </c>
      <c r="E1412">
        <v>0</v>
      </c>
      <c r="F1412">
        <v>0</v>
      </c>
      <c r="G1412">
        <v>711.0883</v>
      </c>
      <c r="I1412">
        <f t="shared" ref="I1412:I1475" si="88">$H$2*$C1412/$B1412</f>
        <v>0.36543053893202671</v>
      </c>
      <c r="J1412">
        <f t="shared" ref="J1412:J1475" si="89">$H$2*$D1412</f>
        <v>0</v>
      </c>
      <c r="K1412">
        <f t="shared" ref="K1412:K1475" si="90">$H$2*$E1412</f>
        <v>0</v>
      </c>
      <c r="L1412">
        <f t="shared" ref="L1412:L1475" si="91">$H$2*$F1412</f>
        <v>0</v>
      </c>
    </row>
    <row r="1413" spans="1:12" x14ac:dyDescent="0.35">
      <c r="A1413" s="1" t="s">
        <v>36</v>
      </c>
      <c r="B1413">
        <v>0.41782864199999997</v>
      </c>
      <c r="C1413">
        <v>5.4992000000000001E-3</v>
      </c>
      <c r="D1413">
        <v>0</v>
      </c>
      <c r="E1413">
        <v>0</v>
      </c>
      <c r="F1413">
        <v>0</v>
      </c>
      <c r="G1413">
        <v>711.50612000000001</v>
      </c>
      <c r="I1413">
        <f t="shared" si="88"/>
        <v>0.26340975432619773</v>
      </c>
      <c r="J1413">
        <f t="shared" si="89"/>
        <v>0</v>
      </c>
      <c r="K1413">
        <f t="shared" si="90"/>
        <v>0</v>
      </c>
      <c r="L1413">
        <f t="shared" si="91"/>
        <v>0</v>
      </c>
    </row>
    <row r="1414" spans="1:12" x14ac:dyDescent="0.35">
      <c r="A1414" s="1" t="s">
        <v>37</v>
      </c>
      <c r="B1414">
        <v>0.41782827500000003</v>
      </c>
      <c r="C1414">
        <v>4.1392E-3</v>
      </c>
      <c r="D1414">
        <v>0</v>
      </c>
      <c r="E1414">
        <v>0</v>
      </c>
      <c r="F1414">
        <v>0</v>
      </c>
      <c r="G1414">
        <v>711.92394999999999</v>
      </c>
      <c r="I1414">
        <f t="shared" si="88"/>
        <v>0.19826640470947862</v>
      </c>
      <c r="J1414">
        <f t="shared" si="89"/>
        <v>0</v>
      </c>
      <c r="K1414">
        <f t="shared" si="90"/>
        <v>0</v>
      </c>
      <c r="L1414">
        <f t="shared" si="91"/>
        <v>0</v>
      </c>
    </row>
    <row r="1415" spans="1:12" x14ac:dyDescent="0.35">
      <c r="A1415" s="1" t="s">
        <v>38</v>
      </c>
      <c r="B1415">
        <v>0.41782808399999999</v>
      </c>
      <c r="C1415">
        <v>3.2192000000000002E-3</v>
      </c>
      <c r="D1415">
        <v>0</v>
      </c>
      <c r="E1415">
        <v>0</v>
      </c>
      <c r="F1415">
        <v>0</v>
      </c>
      <c r="G1415">
        <v>712.34177999999997</v>
      </c>
      <c r="I1415">
        <f t="shared" si="88"/>
        <v>0.15419875865034546</v>
      </c>
      <c r="J1415">
        <f t="shared" si="89"/>
        <v>0</v>
      </c>
      <c r="K1415">
        <f t="shared" si="90"/>
        <v>0</v>
      </c>
      <c r="L1415">
        <f t="shared" si="91"/>
        <v>0</v>
      </c>
    </row>
    <row r="1416" spans="1:12" x14ac:dyDescent="0.35">
      <c r="A1416" s="1" t="s">
        <v>39</v>
      </c>
      <c r="B1416">
        <v>0.41782794400000001</v>
      </c>
      <c r="C1416">
        <v>2.3392E-3</v>
      </c>
      <c r="D1416">
        <v>0</v>
      </c>
      <c r="E1416">
        <v>0</v>
      </c>
      <c r="F1416">
        <v>0</v>
      </c>
      <c r="G1416">
        <v>712.75960999999995</v>
      </c>
      <c r="I1416">
        <f t="shared" si="88"/>
        <v>0.11204704805350077</v>
      </c>
      <c r="J1416">
        <f t="shared" si="89"/>
        <v>0</v>
      </c>
      <c r="K1416">
        <f t="shared" si="90"/>
        <v>0</v>
      </c>
      <c r="L1416">
        <f t="shared" si="91"/>
        <v>0</v>
      </c>
    </row>
    <row r="1417" spans="1:12" x14ac:dyDescent="0.35">
      <c r="A1417" s="1" t="s">
        <v>79</v>
      </c>
      <c r="B1417">
        <v>0.21199999999999999</v>
      </c>
      <c r="C1417">
        <v>0</v>
      </c>
      <c r="D1417">
        <v>-2.53358734</v>
      </c>
      <c r="E1417">
        <v>0</v>
      </c>
      <c r="F1417">
        <v>0</v>
      </c>
      <c r="G1417">
        <v>713.01860999999997</v>
      </c>
      <c r="I1417">
        <f t="shared" si="88"/>
        <v>0</v>
      </c>
      <c r="J1417">
        <f t="shared" si="89"/>
        <v>-50.706825936458621</v>
      </c>
      <c r="K1417">
        <f t="shared" si="90"/>
        <v>0</v>
      </c>
      <c r="L1417">
        <f t="shared" si="91"/>
        <v>0</v>
      </c>
    </row>
    <row r="1418" spans="1:12" x14ac:dyDescent="0.35">
      <c r="A1418" s="1" t="s">
        <v>80</v>
      </c>
      <c r="B1418">
        <v>0.16600000000000001</v>
      </c>
      <c r="C1418">
        <v>0</v>
      </c>
      <c r="D1418">
        <v>0</v>
      </c>
      <c r="E1418">
        <v>-202.23429300000001</v>
      </c>
      <c r="F1418">
        <v>0</v>
      </c>
      <c r="G1418">
        <v>713.25960999999995</v>
      </c>
      <c r="I1418">
        <f t="shared" si="88"/>
        <v>0</v>
      </c>
      <c r="J1418">
        <f t="shared" si="89"/>
        <v>0</v>
      </c>
      <c r="K1418">
        <f t="shared" si="90"/>
        <v>-4047.4859230760812</v>
      </c>
      <c r="L1418">
        <f t="shared" si="91"/>
        <v>0</v>
      </c>
    </row>
    <row r="1419" spans="1:12" x14ac:dyDescent="0.35">
      <c r="A1419" s="1" t="s">
        <v>81</v>
      </c>
      <c r="B1419">
        <v>0.09</v>
      </c>
      <c r="C1419">
        <v>0</v>
      </c>
      <c r="D1419">
        <v>0</v>
      </c>
      <c r="E1419">
        <v>0</v>
      </c>
      <c r="F1419">
        <v>-13632</v>
      </c>
      <c r="G1419">
        <v>713.80046000000004</v>
      </c>
      <c r="I1419">
        <f t="shared" si="88"/>
        <v>0</v>
      </c>
      <c r="J1419">
        <f t="shared" si="89"/>
        <v>0</v>
      </c>
      <c r="K1419">
        <f t="shared" si="90"/>
        <v>0</v>
      </c>
      <c r="L1419">
        <f t="shared" si="91"/>
        <v>-272828.74375501258</v>
      </c>
    </row>
    <row r="1420" spans="1:12" x14ac:dyDescent="0.35">
      <c r="A1420" s="1" t="s">
        <v>82</v>
      </c>
      <c r="B1420">
        <v>0.21199999999999999</v>
      </c>
      <c r="C1420">
        <v>0</v>
      </c>
      <c r="D1420">
        <v>2.47240752</v>
      </c>
      <c r="E1420">
        <v>0</v>
      </c>
      <c r="F1420">
        <v>0</v>
      </c>
      <c r="G1420">
        <v>714.07245999999998</v>
      </c>
      <c r="I1420">
        <f t="shared" si="88"/>
        <v>0</v>
      </c>
      <c r="J1420">
        <f t="shared" si="89"/>
        <v>49.48238246273813</v>
      </c>
      <c r="K1420">
        <f t="shared" si="90"/>
        <v>0</v>
      </c>
      <c r="L1420">
        <f t="shared" si="91"/>
        <v>0</v>
      </c>
    </row>
    <row r="1421" spans="1:12" x14ac:dyDescent="0.35">
      <c r="A1421" s="1" t="s">
        <v>83</v>
      </c>
      <c r="B1421">
        <v>0.1</v>
      </c>
      <c r="C1421">
        <v>0</v>
      </c>
      <c r="D1421">
        <v>0</v>
      </c>
      <c r="E1421">
        <v>172.62799999999999</v>
      </c>
      <c r="F1421">
        <v>0</v>
      </c>
      <c r="G1421">
        <v>714.24746000000005</v>
      </c>
      <c r="I1421">
        <f t="shared" si="88"/>
        <v>0</v>
      </c>
      <c r="J1421">
        <f t="shared" si="89"/>
        <v>0</v>
      </c>
      <c r="K1421">
        <f t="shared" si="90"/>
        <v>3454.9501450220296</v>
      </c>
      <c r="L1421">
        <f t="shared" si="91"/>
        <v>0</v>
      </c>
    </row>
    <row r="1422" spans="1:12" x14ac:dyDescent="0.35">
      <c r="A1422" s="1" t="s">
        <v>83</v>
      </c>
      <c r="B1422">
        <v>0.1</v>
      </c>
      <c r="C1422">
        <v>0</v>
      </c>
      <c r="D1422">
        <v>0</v>
      </c>
      <c r="E1422">
        <v>172.62799999999999</v>
      </c>
      <c r="F1422">
        <v>0</v>
      </c>
      <c r="G1422">
        <f>0.1+714.24746</f>
        <v>714.34746000000007</v>
      </c>
      <c r="I1422">
        <f t="shared" si="88"/>
        <v>0</v>
      </c>
      <c r="J1422">
        <f t="shared" si="89"/>
        <v>0</v>
      </c>
      <c r="K1422">
        <f t="shared" si="90"/>
        <v>3454.9501450220296</v>
      </c>
      <c r="L1422">
        <f t="shared" si="91"/>
        <v>0</v>
      </c>
    </row>
    <row r="1423" spans="1:12" x14ac:dyDescent="0.35">
      <c r="A1423" s="1" t="s">
        <v>84</v>
      </c>
      <c r="B1423">
        <v>0.21199999999999999</v>
      </c>
      <c r="C1423">
        <v>0</v>
      </c>
      <c r="D1423">
        <v>2.47240752</v>
      </c>
      <c r="E1423">
        <v>0</v>
      </c>
      <c r="F1423">
        <v>0</v>
      </c>
      <c r="G1423">
        <v>714.63445999999999</v>
      </c>
      <c r="I1423">
        <f t="shared" si="88"/>
        <v>0</v>
      </c>
      <c r="J1423">
        <f t="shared" si="89"/>
        <v>49.48238246273813</v>
      </c>
      <c r="K1423">
        <f t="shared" si="90"/>
        <v>0</v>
      </c>
      <c r="L1423">
        <f t="shared" si="91"/>
        <v>0</v>
      </c>
    </row>
    <row r="1424" spans="1:12" x14ac:dyDescent="0.35">
      <c r="A1424" s="1" t="s">
        <v>85</v>
      </c>
      <c r="B1424">
        <v>0.16600000000000001</v>
      </c>
      <c r="C1424">
        <v>0</v>
      </c>
      <c r="D1424">
        <v>0</v>
      </c>
      <c r="E1424">
        <v>-132.861086</v>
      </c>
      <c r="F1424">
        <v>0</v>
      </c>
      <c r="G1424">
        <v>715.40132000000006</v>
      </c>
      <c r="I1424">
        <f t="shared" si="88"/>
        <v>0</v>
      </c>
      <c r="J1424">
        <f t="shared" si="89"/>
        <v>0</v>
      </c>
      <c r="K1424">
        <f t="shared" si="90"/>
        <v>-2659.0612666744933</v>
      </c>
      <c r="L1424">
        <f t="shared" si="91"/>
        <v>0</v>
      </c>
    </row>
    <row r="1425" spans="1:12" x14ac:dyDescent="0.35">
      <c r="A1425" s="1" t="s">
        <v>86</v>
      </c>
      <c r="B1425">
        <v>0.21199999999999999</v>
      </c>
      <c r="C1425">
        <v>0</v>
      </c>
      <c r="D1425">
        <v>-2.3709669899999999</v>
      </c>
      <c r="E1425">
        <v>0</v>
      </c>
      <c r="F1425">
        <v>0</v>
      </c>
      <c r="G1425">
        <v>715.68831999999998</v>
      </c>
      <c r="I1425">
        <f t="shared" si="88"/>
        <v>0</v>
      </c>
      <c r="J1425">
        <f t="shared" si="89"/>
        <v>-47.452167353748784</v>
      </c>
      <c r="K1425">
        <f t="shared" si="90"/>
        <v>0</v>
      </c>
      <c r="L1425">
        <f t="shared" si="91"/>
        <v>0</v>
      </c>
    </row>
    <row r="1426" spans="1:12" x14ac:dyDescent="0.35">
      <c r="A1426" s="1" t="s">
        <v>48</v>
      </c>
      <c r="B1426">
        <v>0.41782794400000001</v>
      </c>
      <c r="C1426">
        <v>2.3392E-3</v>
      </c>
      <c r="D1426">
        <v>0</v>
      </c>
      <c r="E1426">
        <v>0</v>
      </c>
      <c r="F1426">
        <v>0</v>
      </c>
      <c r="G1426">
        <v>716.15314000000001</v>
      </c>
      <c r="I1426">
        <f t="shared" si="88"/>
        <v>0.11204704805350077</v>
      </c>
      <c r="J1426">
        <f t="shared" si="89"/>
        <v>0</v>
      </c>
      <c r="K1426">
        <f t="shared" si="90"/>
        <v>0</v>
      </c>
      <c r="L1426">
        <f t="shared" si="91"/>
        <v>0</v>
      </c>
    </row>
    <row r="1427" spans="1:12" x14ac:dyDescent="0.35">
      <c r="A1427" s="1" t="s">
        <v>49</v>
      </c>
      <c r="B1427">
        <v>0.41782808399999999</v>
      </c>
      <c r="C1427">
        <v>3.2192000000000002E-3</v>
      </c>
      <c r="D1427">
        <v>0</v>
      </c>
      <c r="E1427">
        <v>0</v>
      </c>
      <c r="F1427">
        <v>0</v>
      </c>
      <c r="G1427">
        <v>716.57096999999999</v>
      </c>
      <c r="I1427">
        <f t="shared" si="88"/>
        <v>0.15419875865034546</v>
      </c>
      <c r="J1427">
        <f t="shared" si="89"/>
        <v>0</v>
      </c>
      <c r="K1427">
        <f t="shared" si="90"/>
        <v>0</v>
      </c>
      <c r="L1427">
        <f t="shared" si="91"/>
        <v>0</v>
      </c>
    </row>
    <row r="1428" spans="1:12" x14ac:dyDescent="0.35">
      <c r="A1428" s="1" t="s">
        <v>50</v>
      </c>
      <c r="B1428">
        <v>0.41782827500000003</v>
      </c>
      <c r="C1428">
        <v>4.1392E-3</v>
      </c>
      <c r="D1428">
        <v>0</v>
      </c>
      <c r="E1428">
        <v>0</v>
      </c>
      <c r="F1428">
        <v>0</v>
      </c>
      <c r="G1428">
        <v>716.98879999999997</v>
      </c>
      <c r="I1428">
        <f t="shared" si="88"/>
        <v>0.19826640470947862</v>
      </c>
      <c r="J1428">
        <f t="shared" si="89"/>
        <v>0</v>
      </c>
      <c r="K1428">
        <f t="shared" si="90"/>
        <v>0</v>
      </c>
      <c r="L1428">
        <f t="shared" si="91"/>
        <v>0</v>
      </c>
    </row>
    <row r="1429" spans="1:12" x14ac:dyDescent="0.35">
      <c r="A1429" s="1" t="s">
        <v>51</v>
      </c>
      <c r="B1429">
        <v>0.41782864199999997</v>
      </c>
      <c r="C1429">
        <v>5.4992000000000001E-3</v>
      </c>
      <c r="D1429">
        <v>0</v>
      </c>
      <c r="E1429">
        <v>0</v>
      </c>
      <c r="F1429">
        <v>0</v>
      </c>
      <c r="G1429">
        <v>717.40662999999995</v>
      </c>
      <c r="I1429">
        <f t="shared" si="88"/>
        <v>0.26340975432619773</v>
      </c>
      <c r="J1429">
        <f t="shared" si="89"/>
        <v>0</v>
      </c>
      <c r="K1429">
        <f t="shared" si="90"/>
        <v>0</v>
      </c>
      <c r="L1429">
        <f t="shared" si="91"/>
        <v>0</v>
      </c>
    </row>
    <row r="1430" spans="1:12" x14ac:dyDescent="0.35">
      <c r="A1430" s="1" t="s">
        <v>52</v>
      </c>
      <c r="B1430">
        <v>0.41783028900000002</v>
      </c>
      <c r="C1430">
        <v>9.4690999999999994E-3</v>
      </c>
      <c r="D1430">
        <v>0</v>
      </c>
      <c r="E1430">
        <v>0</v>
      </c>
      <c r="F1430">
        <v>0</v>
      </c>
      <c r="G1430">
        <v>717.82446000000004</v>
      </c>
      <c r="I1430">
        <f t="shared" si="88"/>
        <v>0.45356478630764774</v>
      </c>
      <c r="J1430">
        <f t="shared" si="89"/>
        <v>0</v>
      </c>
      <c r="K1430">
        <f t="shared" si="90"/>
        <v>0</v>
      </c>
      <c r="L1430">
        <f t="shared" si="91"/>
        <v>0</v>
      </c>
    </row>
    <row r="1431" spans="1:12" x14ac:dyDescent="0.35">
      <c r="A1431" s="1" t="s">
        <v>87</v>
      </c>
      <c r="B1431">
        <v>0.16200000000000001</v>
      </c>
      <c r="C1431">
        <v>0</v>
      </c>
      <c r="D1431">
        <v>-2.8698264299999998</v>
      </c>
      <c r="E1431">
        <v>0</v>
      </c>
      <c r="F1431">
        <v>0</v>
      </c>
      <c r="G1431">
        <v>718.03345999999999</v>
      </c>
      <c r="I1431">
        <f t="shared" si="88"/>
        <v>0</v>
      </c>
      <c r="J1431">
        <f t="shared" si="89"/>
        <v>-57.436263181619168</v>
      </c>
      <c r="K1431">
        <f t="shared" si="90"/>
        <v>0</v>
      </c>
      <c r="L1431">
        <f t="shared" si="91"/>
        <v>0</v>
      </c>
    </row>
    <row r="1432" spans="1:12" x14ac:dyDescent="0.35">
      <c r="A1432" s="1" t="s">
        <v>54</v>
      </c>
      <c r="B1432">
        <v>0.1</v>
      </c>
      <c r="C1432">
        <v>0</v>
      </c>
      <c r="D1432">
        <v>0</v>
      </c>
      <c r="E1432">
        <v>0</v>
      </c>
      <c r="F1432">
        <v>0</v>
      </c>
      <c r="G1432">
        <v>718.36346000000003</v>
      </c>
      <c r="I1432">
        <f t="shared" si="88"/>
        <v>0</v>
      </c>
      <c r="J1432">
        <f t="shared" si="89"/>
        <v>0</v>
      </c>
      <c r="K1432">
        <f t="shared" si="90"/>
        <v>0</v>
      </c>
      <c r="L1432">
        <f t="shared" si="91"/>
        <v>0</v>
      </c>
    </row>
    <row r="1433" spans="1:12" x14ac:dyDescent="0.35">
      <c r="A1433" s="1" t="s">
        <v>88</v>
      </c>
      <c r="B1433">
        <v>0.29499999999999998</v>
      </c>
      <c r="C1433">
        <v>0</v>
      </c>
      <c r="D1433">
        <v>2.43875777</v>
      </c>
      <c r="E1433">
        <v>0</v>
      </c>
      <c r="F1433">
        <v>0</v>
      </c>
      <c r="G1433">
        <v>718.76846</v>
      </c>
      <c r="I1433">
        <f t="shared" si="88"/>
        <v>0</v>
      </c>
      <c r="J1433">
        <f t="shared" si="89"/>
        <v>48.808921560436907</v>
      </c>
      <c r="K1433">
        <f t="shared" si="90"/>
        <v>0</v>
      </c>
      <c r="L1433">
        <f t="shared" si="91"/>
        <v>0</v>
      </c>
    </row>
    <row r="1434" spans="1:12" x14ac:dyDescent="0.35">
      <c r="A1434" s="1" t="s">
        <v>56</v>
      </c>
      <c r="B1434">
        <v>0.29499999999999998</v>
      </c>
      <c r="C1434">
        <v>0</v>
      </c>
      <c r="D1434">
        <v>2.43875777</v>
      </c>
      <c r="E1434">
        <v>0</v>
      </c>
      <c r="F1434">
        <v>0</v>
      </c>
      <c r="G1434">
        <v>724.64161000000001</v>
      </c>
      <c r="I1434">
        <f t="shared" si="88"/>
        <v>0</v>
      </c>
      <c r="J1434">
        <f t="shared" si="89"/>
        <v>48.808921560436907</v>
      </c>
      <c r="K1434">
        <f t="shared" si="90"/>
        <v>0</v>
      </c>
      <c r="L1434">
        <f t="shared" si="91"/>
        <v>0</v>
      </c>
    </row>
    <row r="1435" spans="1:12" x14ac:dyDescent="0.35">
      <c r="A1435" s="1" t="s">
        <v>2</v>
      </c>
      <c r="B1435">
        <v>0.1</v>
      </c>
      <c r="C1435">
        <v>0</v>
      </c>
      <c r="D1435">
        <v>0</v>
      </c>
      <c r="E1435">
        <v>0</v>
      </c>
      <c r="F1435">
        <v>0</v>
      </c>
      <c r="G1435">
        <v>724.85161000000005</v>
      </c>
      <c r="I1435">
        <f t="shared" si="88"/>
        <v>0</v>
      </c>
      <c r="J1435">
        <f t="shared" si="89"/>
        <v>0</v>
      </c>
      <c r="K1435">
        <f t="shared" si="90"/>
        <v>0</v>
      </c>
      <c r="L1435">
        <f t="shared" si="91"/>
        <v>0</v>
      </c>
    </row>
    <row r="1436" spans="1:12" x14ac:dyDescent="0.35">
      <c r="A1436" s="1" t="s">
        <v>57</v>
      </c>
      <c r="B1436">
        <v>0.16200000000000001</v>
      </c>
      <c r="C1436">
        <v>0</v>
      </c>
      <c r="D1436">
        <v>-2.8698264299999998</v>
      </c>
      <c r="E1436">
        <v>0</v>
      </c>
      <c r="F1436">
        <v>0</v>
      </c>
      <c r="G1436">
        <v>725.24360999999999</v>
      </c>
      <c r="I1436">
        <f t="shared" si="88"/>
        <v>0</v>
      </c>
      <c r="J1436">
        <f t="shared" si="89"/>
        <v>-57.436263181619168</v>
      </c>
      <c r="K1436">
        <f t="shared" si="90"/>
        <v>0</v>
      </c>
      <c r="L1436">
        <f t="shared" si="91"/>
        <v>0</v>
      </c>
    </row>
    <row r="1437" spans="1:12" x14ac:dyDescent="0.35">
      <c r="A1437" s="1" t="s">
        <v>58</v>
      </c>
      <c r="B1437">
        <v>0.41783028900000002</v>
      </c>
      <c r="C1437">
        <v>9.4690999999999994E-3</v>
      </c>
      <c r="D1437">
        <v>0</v>
      </c>
      <c r="E1437">
        <v>0</v>
      </c>
      <c r="F1437">
        <v>0</v>
      </c>
      <c r="G1437">
        <v>725.70844</v>
      </c>
      <c r="I1437">
        <f t="shared" si="88"/>
        <v>0.45356478630764774</v>
      </c>
      <c r="J1437">
        <f t="shared" si="89"/>
        <v>0</v>
      </c>
      <c r="K1437">
        <f t="shared" si="90"/>
        <v>0</v>
      </c>
      <c r="L1437">
        <f t="shared" si="91"/>
        <v>0</v>
      </c>
    </row>
    <row r="1438" spans="1:12" x14ac:dyDescent="0.35">
      <c r="A1438" s="1" t="s">
        <v>59</v>
      </c>
      <c r="B1438">
        <v>0.41782864199999997</v>
      </c>
      <c r="C1438">
        <v>5.4992000000000001E-3</v>
      </c>
      <c r="D1438">
        <v>0</v>
      </c>
      <c r="E1438">
        <v>0</v>
      </c>
      <c r="F1438">
        <v>0</v>
      </c>
      <c r="G1438">
        <v>726.12626999999998</v>
      </c>
      <c r="I1438">
        <f t="shared" si="88"/>
        <v>0.26340975432619773</v>
      </c>
      <c r="J1438">
        <f t="shared" si="89"/>
        <v>0</v>
      </c>
      <c r="K1438">
        <f t="shared" si="90"/>
        <v>0</v>
      </c>
      <c r="L1438">
        <f t="shared" si="91"/>
        <v>0</v>
      </c>
    </row>
    <row r="1439" spans="1:12" x14ac:dyDescent="0.35">
      <c r="A1439" s="1" t="s">
        <v>60</v>
      </c>
      <c r="B1439">
        <v>0.41782827500000003</v>
      </c>
      <c r="C1439">
        <v>4.1392E-3</v>
      </c>
      <c r="D1439">
        <v>0</v>
      </c>
      <c r="E1439">
        <v>0</v>
      </c>
      <c r="F1439">
        <v>0</v>
      </c>
      <c r="G1439">
        <v>726.54409999999996</v>
      </c>
      <c r="I1439">
        <f t="shared" si="88"/>
        <v>0.19826640470947862</v>
      </c>
      <c r="J1439">
        <f t="shared" si="89"/>
        <v>0</v>
      </c>
      <c r="K1439">
        <f t="shared" si="90"/>
        <v>0</v>
      </c>
      <c r="L1439">
        <f t="shared" si="91"/>
        <v>0</v>
      </c>
    </row>
    <row r="1440" spans="1:12" x14ac:dyDescent="0.35">
      <c r="A1440" s="1" t="s">
        <v>61</v>
      </c>
      <c r="B1440">
        <v>0.41782808399999999</v>
      </c>
      <c r="C1440">
        <v>3.2192000000000002E-3</v>
      </c>
      <c r="D1440">
        <v>0</v>
      </c>
      <c r="E1440">
        <v>0</v>
      </c>
      <c r="F1440">
        <v>0</v>
      </c>
      <c r="G1440">
        <v>726.96193000000005</v>
      </c>
      <c r="I1440">
        <f t="shared" si="88"/>
        <v>0.15419875865034546</v>
      </c>
      <c r="J1440">
        <f t="shared" si="89"/>
        <v>0</v>
      </c>
      <c r="K1440">
        <f t="shared" si="90"/>
        <v>0</v>
      </c>
      <c r="L1440">
        <f t="shared" si="91"/>
        <v>0</v>
      </c>
    </row>
    <row r="1441" spans="1:12" x14ac:dyDescent="0.35">
      <c r="A1441" s="1" t="s">
        <v>62</v>
      </c>
      <c r="B1441">
        <v>0.41782794400000001</v>
      </c>
      <c r="C1441">
        <v>2.3392E-3</v>
      </c>
      <c r="D1441">
        <v>0</v>
      </c>
      <c r="E1441">
        <v>0</v>
      </c>
      <c r="F1441">
        <v>0</v>
      </c>
      <c r="G1441">
        <v>727.37974999999994</v>
      </c>
      <c r="I1441">
        <f t="shared" si="88"/>
        <v>0.11204704805350077</v>
      </c>
      <c r="J1441">
        <f t="shared" si="89"/>
        <v>0</v>
      </c>
      <c r="K1441">
        <f t="shared" si="90"/>
        <v>0</v>
      </c>
      <c r="L1441">
        <f t="shared" si="91"/>
        <v>0</v>
      </c>
    </row>
    <row r="1442" spans="1:12" x14ac:dyDescent="0.35">
      <c r="A1442" s="1" t="s">
        <v>63</v>
      </c>
      <c r="B1442">
        <v>0.21199999999999999</v>
      </c>
      <c r="C1442">
        <v>0</v>
      </c>
      <c r="D1442">
        <v>-2.3709669899999999</v>
      </c>
      <c r="E1442">
        <v>0</v>
      </c>
      <c r="F1442">
        <v>0</v>
      </c>
      <c r="G1442">
        <v>727.63874999999996</v>
      </c>
      <c r="I1442">
        <f t="shared" si="88"/>
        <v>0</v>
      </c>
      <c r="J1442">
        <f t="shared" si="89"/>
        <v>-47.452167353748784</v>
      </c>
      <c r="K1442">
        <f t="shared" si="90"/>
        <v>0</v>
      </c>
      <c r="L1442">
        <f t="shared" si="91"/>
        <v>0</v>
      </c>
    </row>
    <row r="1443" spans="1:12" x14ac:dyDescent="0.35">
      <c r="A1443" s="1" t="s">
        <v>64</v>
      </c>
      <c r="B1443">
        <v>0.16600000000000001</v>
      </c>
      <c r="C1443">
        <v>0</v>
      </c>
      <c r="D1443">
        <v>0</v>
      </c>
      <c r="E1443">
        <v>-132.861086</v>
      </c>
      <c r="F1443">
        <v>0</v>
      </c>
      <c r="G1443">
        <v>727.87974999999994</v>
      </c>
      <c r="I1443">
        <f t="shared" si="88"/>
        <v>0</v>
      </c>
      <c r="J1443">
        <f t="shared" si="89"/>
        <v>0</v>
      </c>
      <c r="K1443">
        <f t="shared" si="90"/>
        <v>-2659.0612666744933</v>
      </c>
      <c r="L1443">
        <f t="shared" si="91"/>
        <v>0</v>
      </c>
    </row>
    <row r="1444" spans="1:12" x14ac:dyDescent="0.35">
      <c r="A1444" s="1" t="s">
        <v>65</v>
      </c>
      <c r="B1444">
        <v>0.21199999999999999</v>
      </c>
      <c r="C1444">
        <v>0</v>
      </c>
      <c r="D1444">
        <v>2.47240752</v>
      </c>
      <c r="E1444">
        <v>0</v>
      </c>
      <c r="F1444">
        <v>0</v>
      </c>
      <c r="G1444">
        <v>728.69260999999995</v>
      </c>
      <c r="I1444">
        <f t="shared" si="88"/>
        <v>0</v>
      </c>
      <c r="J1444">
        <f t="shared" si="89"/>
        <v>49.48238246273813</v>
      </c>
      <c r="K1444">
        <f t="shared" si="90"/>
        <v>0</v>
      </c>
      <c r="L1444">
        <f t="shared" si="91"/>
        <v>0</v>
      </c>
    </row>
    <row r="1445" spans="1:12" x14ac:dyDescent="0.35">
      <c r="A1445" s="1" t="s">
        <v>66</v>
      </c>
      <c r="B1445">
        <v>0.1</v>
      </c>
      <c r="C1445">
        <v>0</v>
      </c>
      <c r="D1445">
        <v>0</v>
      </c>
      <c r="E1445">
        <v>172.62799999999999</v>
      </c>
      <c r="F1445">
        <v>0</v>
      </c>
      <c r="G1445">
        <v>728.86761000000001</v>
      </c>
      <c r="I1445">
        <f t="shared" si="88"/>
        <v>0</v>
      </c>
      <c r="J1445">
        <f t="shared" si="89"/>
        <v>0</v>
      </c>
      <c r="K1445">
        <f t="shared" si="90"/>
        <v>3454.9501450220296</v>
      </c>
      <c r="L1445">
        <f t="shared" si="91"/>
        <v>0</v>
      </c>
    </row>
    <row r="1446" spans="1:12" x14ac:dyDescent="0.35">
      <c r="A1446" s="1" t="s">
        <v>66</v>
      </c>
      <c r="B1446">
        <v>0.1</v>
      </c>
      <c r="C1446">
        <v>0</v>
      </c>
      <c r="D1446">
        <v>0</v>
      </c>
      <c r="E1446">
        <v>172.62799999999999</v>
      </c>
      <c r="F1446">
        <v>0</v>
      </c>
      <c r="G1446">
        <f>728.86761+0.1</f>
        <v>728.96761000000004</v>
      </c>
      <c r="I1446">
        <f t="shared" si="88"/>
        <v>0</v>
      </c>
      <c r="J1446">
        <f t="shared" si="89"/>
        <v>0</v>
      </c>
      <c r="K1446">
        <f t="shared" si="90"/>
        <v>3454.9501450220296</v>
      </c>
      <c r="L1446">
        <f t="shared" si="91"/>
        <v>0</v>
      </c>
    </row>
    <row r="1447" spans="1:12" x14ac:dyDescent="0.35">
      <c r="A1447" s="1" t="s">
        <v>67</v>
      </c>
      <c r="B1447">
        <v>0.21199999999999999</v>
      </c>
      <c r="C1447">
        <v>0</v>
      </c>
      <c r="D1447">
        <v>2.47240752</v>
      </c>
      <c r="E1447">
        <v>0</v>
      </c>
      <c r="F1447">
        <v>0</v>
      </c>
      <c r="G1447">
        <v>729.25460999999996</v>
      </c>
      <c r="I1447">
        <f t="shared" si="88"/>
        <v>0</v>
      </c>
      <c r="J1447">
        <f t="shared" si="89"/>
        <v>49.48238246273813</v>
      </c>
      <c r="K1447">
        <f t="shared" si="90"/>
        <v>0</v>
      </c>
      <c r="L1447">
        <f t="shared" si="91"/>
        <v>0</v>
      </c>
    </row>
    <row r="1448" spans="1:12" x14ac:dyDescent="0.35">
      <c r="A1448" s="1" t="s">
        <v>68</v>
      </c>
      <c r="B1448">
        <v>0.09</v>
      </c>
      <c r="C1448">
        <v>0</v>
      </c>
      <c r="D1448">
        <v>0</v>
      </c>
      <c r="E1448">
        <v>0</v>
      </c>
      <c r="F1448">
        <v>-13632</v>
      </c>
      <c r="G1448">
        <v>729.40461000000005</v>
      </c>
      <c r="I1448">
        <f t="shared" si="88"/>
        <v>0</v>
      </c>
      <c r="J1448">
        <f t="shared" si="89"/>
        <v>0</v>
      </c>
      <c r="K1448">
        <f t="shared" si="90"/>
        <v>0</v>
      </c>
      <c r="L1448">
        <f t="shared" si="91"/>
        <v>-272828.74375501258</v>
      </c>
    </row>
    <row r="1449" spans="1:12" x14ac:dyDescent="0.35">
      <c r="A1449" s="1" t="s">
        <v>69</v>
      </c>
      <c r="B1449">
        <v>0.16600000000000001</v>
      </c>
      <c r="C1449">
        <v>0</v>
      </c>
      <c r="D1449">
        <v>0</v>
      </c>
      <c r="E1449">
        <v>-202.23429300000001</v>
      </c>
      <c r="F1449">
        <v>0</v>
      </c>
      <c r="G1449">
        <v>730.02146000000005</v>
      </c>
      <c r="I1449">
        <f t="shared" si="88"/>
        <v>0</v>
      </c>
      <c r="J1449">
        <f t="shared" si="89"/>
        <v>0</v>
      </c>
      <c r="K1449">
        <f t="shared" si="90"/>
        <v>-4047.4859230760812</v>
      </c>
      <c r="L1449">
        <f t="shared" si="91"/>
        <v>0</v>
      </c>
    </row>
    <row r="1450" spans="1:12" x14ac:dyDescent="0.35">
      <c r="A1450" s="1" t="s">
        <v>70</v>
      </c>
      <c r="B1450">
        <v>0.21199999999999999</v>
      </c>
      <c r="C1450">
        <v>0</v>
      </c>
      <c r="D1450">
        <v>-2.53358734</v>
      </c>
      <c r="E1450">
        <v>0</v>
      </c>
      <c r="F1450">
        <v>0</v>
      </c>
      <c r="G1450">
        <v>730.30845999999997</v>
      </c>
      <c r="I1450">
        <f t="shared" si="88"/>
        <v>0</v>
      </c>
      <c r="J1450">
        <f t="shared" si="89"/>
        <v>-50.706825936458621</v>
      </c>
      <c r="K1450">
        <f t="shared" si="90"/>
        <v>0</v>
      </c>
      <c r="L1450">
        <f t="shared" si="91"/>
        <v>0</v>
      </c>
    </row>
    <row r="1451" spans="1:12" x14ac:dyDescent="0.35">
      <c r="A1451" s="1" t="s">
        <v>20</v>
      </c>
      <c r="B1451">
        <v>0.41782794400000001</v>
      </c>
      <c r="C1451">
        <v>2.3392E-3</v>
      </c>
      <c r="D1451">
        <v>0</v>
      </c>
      <c r="E1451">
        <v>0</v>
      </c>
      <c r="F1451">
        <v>0</v>
      </c>
      <c r="G1451">
        <v>730.77328999999997</v>
      </c>
      <c r="I1451">
        <f t="shared" si="88"/>
        <v>0.11204704805350077</v>
      </c>
      <c r="J1451">
        <f t="shared" si="89"/>
        <v>0</v>
      </c>
      <c r="K1451">
        <f t="shared" si="90"/>
        <v>0</v>
      </c>
      <c r="L1451">
        <f t="shared" si="91"/>
        <v>0</v>
      </c>
    </row>
    <row r="1452" spans="1:12" x14ac:dyDescent="0.35">
      <c r="A1452" s="1" t="s">
        <v>21</v>
      </c>
      <c r="B1452">
        <v>0.41782808399999999</v>
      </c>
      <c r="C1452">
        <v>3.2192000000000002E-3</v>
      </c>
      <c r="D1452">
        <v>0</v>
      </c>
      <c r="E1452">
        <v>0</v>
      </c>
      <c r="F1452">
        <v>0</v>
      </c>
      <c r="G1452">
        <v>731.19111999999996</v>
      </c>
      <c r="I1452">
        <f t="shared" si="88"/>
        <v>0.15419875865034546</v>
      </c>
      <c r="J1452">
        <f t="shared" si="89"/>
        <v>0</v>
      </c>
      <c r="K1452">
        <f t="shared" si="90"/>
        <v>0</v>
      </c>
      <c r="L1452">
        <f t="shared" si="91"/>
        <v>0</v>
      </c>
    </row>
    <row r="1453" spans="1:12" x14ac:dyDescent="0.35">
      <c r="A1453" s="1" t="s">
        <v>22</v>
      </c>
      <c r="B1453">
        <v>0.41782827500000003</v>
      </c>
      <c r="C1453">
        <v>4.1392E-3</v>
      </c>
      <c r="D1453">
        <v>0</v>
      </c>
      <c r="E1453">
        <v>0</v>
      </c>
      <c r="F1453">
        <v>0</v>
      </c>
      <c r="G1453">
        <v>731.60895000000005</v>
      </c>
      <c r="I1453">
        <f t="shared" si="88"/>
        <v>0.19826640470947862</v>
      </c>
      <c r="J1453">
        <f t="shared" si="89"/>
        <v>0</v>
      </c>
      <c r="K1453">
        <f t="shared" si="90"/>
        <v>0</v>
      </c>
      <c r="L1453">
        <f t="shared" si="91"/>
        <v>0</v>
      </c>
    </row>
    <row r="1454" spans="1:12" x14ac:dyDescent="0.35">
      <c r="A1454" s="1" t="s">
        <v>23</v>
      </c>
      <c r="B1454">
        <v>0.41782864199999997</v>
      </c>
      <c r="C1454">
        <v>5.4992000000000001E-3</v>
      </c>
      <c r="D1454">
        <v>0</v>
      </c>
      <c r="E1454">
        <v>0</v>
      </c>
      <c r="F1454">
        <v>0</v>
      </c>
      <c r="G1454">
        <v>732.02677000000006</v>
      </c>
      <c r="I1454">
        <f t="shared" si="88"/>
        <v>0.26340975432619773</v>
      </c>
      <c r="J1454">
        <f t="shared" si="89"/>
        <v>0</v>
      </c>
      <c r="K1454">
        <f t="shared" si="90"/>
        <v>0</v>
      </c>
      <c r="L1454">
        <f t="shared" si="91"/>
        <v>0</v>
      </c>
    </row>
    <row r="1455" spans="1:12" x14ac:dyDescent="0.35">
      <c r="A1455" s="1" t="s">
        <v>24</v>
      </c>
      <c r="B1455">
        <v>0.41782941899999998</v>
      </c>
      <c r="C1455">
        <v>7.6290999999999998E-3</v>
      </c>
      <c r="D1455">
        <v>0</v>
      </c>
      <c r="E1455">
        <v>0</v>
      </c>
      <c r="F1455">
        <v>0</v>
      </c>
      <c r="G1455">
        <v>732.44460000000004</v>
      </c>
      <c r="I1455">
        <f t="shared" si="88"/>
        <v>0.36543053893202671</v>
      </c>
      <c r="J1455">
        <f t="shared" si="89"/>
        <v>0</v>
      </c>
      <c r="K1455">
        <f t="shared" si="90"/>
        <v>0</v>
      </c>
      <c r="L1455">
        <f t="shared" si="91"/>
        <v>0</v>
      </c>
    </row>
    <row r="1456" spans="1:12" x14ac:dyDescent="0.35">
      <c r="A1456" s="1" t="s">
        <v>71</v>
      </c>
      <c r="B1456">
        <v>0.3745</v>
      </c>
      <c r="C1456">
        <v>0</v>
      </c>
      <c r="D1456">
        <v>4.5116622</v>
      </c>
      <c r="E1456">
        <v>0</v>
      </c>
      <c r="F1456">
        <v>0</v>
      </c>
      <c r="G1456">
        <v>732.96910000000003</v>
      </c>
      <c r="I1456">
        <f t="shared" si="88"/>
        <v>0</v>
      </c>
      <c r="J1456">
        <f t="shared" si="89"/>
        <v>90.29571084748946</v>
      </c>
      <c r="K1456">
        <f t="shared" si="90"/>
        <v>0</v>
      </c>
      <c r="L1456">
        <f t="shared" si="91"/>
        <v>0</v>
      </c>
    </row>
    <row r="1457" spans="1:12" x14ac:dyDescent="0.35">
      <c r="A1457" s="1" t="s">
        <v>72</v>
      </c>
      <c r="B1457">
        <v>1.0280365199999999</v>
      </c>
      <c r="C1457">
        <v>2.4767999999999998E-2</v>
      </c>
      <c r="D1457">
        <v>-1.929</v>
      </c>
      <c r="E1457">
        <v>0</v>
      </c>
      <c r="F1457">
        <v>0</v>
      </c>
      <c r="G1457">
        <v>734.08713999999998</v>
      </c>
      <c r="I1457">
        <f t="shared" si="88"/>
        <v>0.48218416286837618</v>
      </c>
      <c r="J1457">
        <f t="shared" si="89"/>
        <v>-38.606708238220314</v>
      </c>
      <c r="K1457">
        <f t="shared" si="90"/>
        <v>0</v>
      </c>
      <c r="L1457">
        <f t="shared" si="91"/>
        <v>0</v>
      </c>
    </row>
    <row r="1458" spans="1:12" x14ac:dyDescent="0.35">
      <c r="A1458" s="1" t="s">
        <v>73</v>
      </c>
      <c r="B1458">
        <v>0.4975</v>
      </c>
      <c r="C1458">
        <v>0</v>
      </c>
      <c r="D1458">
        <v>4.61414189</v>
      </c>
      <c r="E1458">
        <v>0</v>
      </c>
      <c r="F1458">
        <v>0</v>
      </c>
      <c r="G1458">
        <v>734.67463999999995</v>
      </c>
      <c r="I1458">
        <f t="shared" si="88"/>
        <v>0</v>
      </c>
      <c r="J1458">
        <f t="shared" si="89"/>
        <v>92.346723544313335</v>
      </c>
      <c r="K1458">
        <f t="shared" si="90"/>
        <v>0</v>
      </c>
      <c r="L1458">
        <f t="shared" si="91"/>
        <v>0</v>
      </c>
    </row>
    <row r="1459" spans="1:12" x14ac:dyDescent="0.35">
      <c r="A1459" s="1" t="s">
        <v>28</v>
      </c>
      <c r="B1459">
        <v>0.1</v>
      </c>
      <c r="C1459">
        <v>0</v>
      </c>
      <c r="D1459">
        <v>0</v>
      </c>
      <c r="E1459">
        <v>0</v>
      </c>
      <c r="F1459">
        <v>0</v>
      </c>
      <c r="G1459">
        <v>734.84571000000005</v>
      </c>
      <c r="I1459">
        <f t="shared" si="88"/>
        <v>0</v>
      </c>
      <c r="J1459">
        <f t="shared" si="89"/>
        <v>0</v>
      </c>
      <c r="K1459">
        <f t="shared" si="90"/>
        <v>0</v>
      </c>
      <c r="L1459">
        <f t="shared" si="91"/>
        <v>0</v>
      </c>
    </row>
    <row r="1460" spans="1:12" x14ac:dyDescent="0.35">
      <c r="A1460" s="1" t="s">
        <v>74</v>
      </c>
      <c r="B1460">
        <v>0.40000102700000001</v>
      </c>
      <c r="C1460">
        <v>5.2300999999999997E-3</v>
      </c>
      <c r="D1460">
        <v>-1.5815999999999999</v>
      </c>
      <c r="E1460">
        <v>0</v>
      </c>
      <c r="F1460">
        <v>0</v>
      </c>
      <c r="G1460">
        <v>735.33870999999999</v>
      </c>
      <c r="I1460">
        <f t="shared" si="88"/>
        <v>0.26168536331815889</v>
      </c>
      <c r="J1460">
        <f t="shared" si="89"/>
        <v>-31.653898263125576</v>
      </c>
      <c r="K1460">
        <f t="shared" si="90"/>
        <v>0</v>
      </c>
      <c r="L1460">
        <f t="shared" si="91"/>
        <v>0</v>
      </c>
    </row>
    <row r="1461" spans="1:12" x14ac:dyDescent="0.35">
      <c r="A1461" s="1" t="s">
        <v>30</v>
      </c>
      <c r="B1461">
        <v>2.44294E-2</v>
      </c>
      <c r="C1461">
        <v>1.0499000000000001E-3</v>
      </c>
      <c r="D1461">
        <v>0</v>
      </c>
      <c r="E1461">
        <v>0</v>
      </c>
      <c r="F1461">
        <v>0</v>
      </c>
      <c r="G1461">
        <v>735.43363999999997</v>
      </c>
      <c r="I1461">
        <f t="shared" si="88"/>
        <v>0.8601331402616047</v>
      </c>
      <c r="J1461">
        <f t="shared" si="89"/>
        <v>0</v>
      </c>
      <c r="K1461">
        <f t="shared" si="90"/>
        <v>0</v>
      </c>
      <c r="L1461">
        <f t="shared" si="91"/>
        <v>0</v>
      </c>
    </row>
    <row r="1462" spans="1:12" x14ac:dyDescent="0.35">
      <c r="A1462" s="1" t="s">
        <v>30</v>
      </c>
      <c r="B1462">
        <v>2.44294E-2</v>
      </c>
      <c r="C1462">
        <v>1.0499000000000001E-3</v>
      </c>
      <c r="D1462">
        <v>0</v>
      </c>
      <c r="E1462">
        <v>0</v>
      </c>
      <c r="F1462">
        <v>0</v>
      </c>
      <c r="G1462">
        <f>735.43364+0.0244294</f>
        <v>735.4580694</v>
      </c>
      <c r="I1462">
        <f t="shared" si="88"/>
        <v>0.8601331402616047</v>
      </c>
      <c r="J1462">
        <f t="shared" si="89"/>
        <v>0</v>
      </c>
      <c r="K1462">
        <f t="shared" si="90"/>
        <v>0</v>
      </c>
      <c r="L1462">
        <f t="shared" si="91"/>
        <v>0</v>
      </c>
    </row>
    <row r="1463" spans="1:12" x14ac:dyDescent="0.35">
      <c r="A1463" s="1" t="s">
        <v>75</v>
      </c>
      <c r="B1463">
        <v>0.40000102700000001</v>
      </c>
      <c r="C1463">
        <v>5.2300999999999997E-3</v>
      </c>
      <c r="D1463">
        <v>-1.5815999999999999</v>
      </c>
      <c r="E1463">
        <v>0</v>
      </c>
      <c r="F1463">
        <v>0</v>
      </c>
      <c r="G1463">
        <v>735.92857000000004</v>
      </c>
      <c r="I1463">
        <f t="shared" si="88"/>
        <v>0.26168536331815889</v>
      </c>
      <c r="J1463">
        <f t="shared" si="89"/>
        <v>-31.653898263125576</v>
      </c>
      <c r="K1463">
        <f t="shared" si="90"/>
        <v>0</v>
      </c>
      <c r="L1463">
        <f t="shared" si="91"/>
        <v>0</v>
      </c>
    </row>
    <row r="1464" spans="1:12" x14ac:dyDescent="0.35">
      <c r="A1464" s="1" t="s">
        <v>76</v>
      </c>
      <c r="B1464">
        <v>0.4975</v>
      </c>
      <c r="C1464">
        <v>0</v>
      </c>
      <c r="D1464">
        <v>4.61414189</v>
      </c>
      <c r="E1464">
        <v>0</v>
      </c>
      <c r="F1464">
        <v>0</v>
      </c>
      <c r="G1464">
        <v>736.69014000000004</v>
      </c>
      <c r="I1464">
        <f t="shared" si="88"/>
        <v>0</v>
      </c>
      <c r="J1464">
        <f t="shared" si="89"/>
        <v>92.346723544313335</v>
      </c>
      <c r="K1464">
        <f t="shared" si="90"/>
        <v>0</v>
      </c>
      <c r="L1464">
        <f t="shared" si="91"/>
        <v>0</v>
      </c>
    </row>
    <row r="1465" spans="1:12" x14ac:dyDescent="0.35">
      <c r="A1465" s="1" t="s">
        <v>77</v>
      </c>
      <c r="B1465">
        <v>1.0280365199999999</v>
      </c>
      <c r="C1465">
        <v>2.4767999999999998E-2</v>
      </c>
      <c r="D1465">
        <v>-1.929</v>
      </c>
      <c r="E1465">
        <v>0</v>
      </c>
      <c r="F1465">
        <v>0</v>
      </c>
      <c r="G1465">
        <v>737.80817999999999</v>
      </c>
      <c r="I1465">
        <f t="shared" si="88"/>
        <v>0.48218416286837618</v>
      </c>
      <c r="J1465">
        <f t="shared" si="89"/>
        <v>-38.606708238220314</v>
      </c>
      <c r="K1465">
        <f t="shared" si="90"/>
        <v>0</v>
      </c>
      <c r="L1465">
        <f t="shared" si="91"/>
        <v>0</v>
      </c>
    </row>
    <row r="1466" spans="1:12" x14ac:dyDescent="0.35">
      <c r="A1466" s="1" t="s">
        <v>78</v>
      </c>
      <c r="B1466">
        <v>0.3745</v>
      </c>
      <c r="C1466">
        <v>0</v>
      </c>
      <c r="D1466">
        <v>4.5116622</v>
      </c>
      <c r="E1466">
        <v>0</v>
      </c>
      <c r="F1466">
        <v>0</v>
      </c>
      <c r="G1466">
        <v>738.27268000000004</v>
      </c>
      <c r="I1466">
        <f t="shared" si="88"/>
        <v>0</v>
      </c>
      <c r="J1466">
        <f t="shared" si="89"/>
        <v>90.29571084748946</v>
      </c>
      <c r="K1466">
        <f t="shared" si="90"/>
        <v>0</v>
      </c>
      <c r="L1466">
        <f t="shared" si="91"/>
        <v>0</v>
      </c>
    </row>
    <row r="1467" spans="1:12" x14ac:dyDescent="0.35">
      <c r="A1467" s="1" t="s">
        <v>35</v>
      </c>
      <c r="B1467">
        <v>0.41782941899999998</v>
      </c>
      <c r="C1467">
        <v>7.6290999999999998E-3</v>
      </c>
      <c r="D1467">
        <v>0</v>
      </c>
      <c r="E1467">
        <v>0</v>
      </c>
      <c r="F1467">
        <v>0</v>
      </c>
      <c r="G1467">
        <v>738.84050999999999</v>
      </c>
      <c r="I1467">
        <f t="shared" si="88"/>
        <v>0.36543053893202671</v>
      </c>
      <c r="J1467">
        <f t="shared" si="89"/>
        <v>0</v>
      </c>
      <c r="K1467">
        <f t="shared" si="90"/>
        <v>0</v>
      </c>
      <c r="L1467">
        <f t="shared" si="91"/>
        <v>0</v>
      </c>
    </row>
    <row r="1468" spans="1:12" x14ac:dyDescent="0.35">
      <c r="A1468" s="1" t="s">
        <v>36</v>
      </c>
      <c r="B1468">
        <v>0.41782864199999997</v>
      </c>
      <c r="C1468">
        <v>5.4992000000000001E-3</v>
      </c>
      <c r="D1468">
        <v>0</v>
      </c>
      <c r="E1468">
        <v>0</v>
      </c>
      <c r="F1468">
        <v>0</v>
      </c>
      <c r="G1468">
        <v>739.25833999999998</v>
      </c>
      <c r="I1468">
        <f t="shared" si="88"/>
        <v>0.26340975432619773</v>
      </c>
      <c r="J1468">
        <f t="shared" si="89"/>
        <v>0</v>
      </c>
      <c r="K1468">
        <f t="shared" si="90"/>
        <v>0</v>
      </c>
      <c r="L1468">
        <f t="shared" si="91"/>
        <v>0</v>
      </c>
    </row>
    <row r="1469" spans="1:12" x14ac:dyDescent="0.35">
      <c r="A1469" s="1" t="s">
        <v>37</v>
      </c>
      <c r="B1469">
        <v>0.41782827500000003</v>
      </c>
      <c r="C1469">
        <v>4.1392E-3</v>
      </c>
      <c r="D1469">
        <v>0</v>
      </c>
      <c r="E1469">
        <v>0</v>
      </c>
      <c r="F1469">
        <v>0</v>
      </c>
      <c r="G1469">
        <v>739.67616999999996</v>
      </c>
      <c r="I1469">
        <f t="shared" si="88"/>
        <v>0.19826640470947862</v>
      </c>
      <c r="J1469">
        <f t="shared" si="89"/>
        <v>0</v>
      </c>
      <c r="K1469">
        <f t="shared" si="90"/>
        <v>0</v>
      </c>
      <c r="L1469">
        <f t="shared" si="91"/>
        <v>0</v>
      </c>
    </row>
    <row r="1470" spans="1:12" x14ac:dyDescent="0.35">
      <c r="A1470" s="1" t="s">
        <v>38</v>
      </c>
      <c r="B1470">
        <v>0.41782808399999999</v>
      </c>
      <c r="C1470">
        <v>3.2192000000000002E-3</v>
      </c>
      <c r="D1470">
        <v>0</v>
      </c>
      <c r="E1470">
        <v>0</v>
      </c>
      <c r="F1470">
        <v>0</v>
      </c>
      <c r="G1470">
        <v>740.09398999999996</v>
      </c>
      <c r="I1470">
        <f t="shared" si="88"/>
        <v>0.15419875865034546</v>
      </c>
      <c r="J1470">
        <f t="shared" si="89"/>
        <v>0</v>
      </c>
      <c r="K1470">
        <f t="shared" si="90"/>
        <v>0</v>
      </c>
      <c r="L1470">
        <f t="shared" si="91"/>
        <v>0</v>
      </c>
    </row>
    <row r="1471" spans="1:12" x14ac:dyDescent="0.35">
      <c r="A1471" s="1" t="s">
        <v>39</v>
      </c>
      <c r="B1471">
        <v>0.41782794400000001</v>
      </c>
      <c r="C1471">
        <v>2.3392E-3</v>
      </c>
      <c r="D1471">
        <v>0</v>
      </c>
      <c r="E1471">
        <v>0</v>
      </c>
      <c r="F1471">
        <v>0</v>
      </c>
      <c r="G1471">
        <v>740.51181999999994</v>
      </c>
      <c r="I1471">
        <f t="shared" si="88"/>
        <v>0.11204704805350077</v>
      </c>
      <c r="J1471">
        <f t="shared" si="89"/>
        <v>0</v>
      </c>
      <c r="K1471">
        <f t="shared" si="90"/>
        <v>0</v>
      </c>
      <c r="L1471">
        <f t="shared" si="91"/>
        <v>0</v>
      </c>
    </row>
    <row r="1472" spans="1:12" x14ac:dyDescent="0.35">
      <c r="A1472" s="1" t="s">
        <v>79</v>
      </c>
      <c r="B1472">
        <v>0.21199999999999999</v>
      </c>
      <c r="C1472">
        <v>0</v>
      </c>
      <c r="D1472">
        <v>-2.53358734</v>
      </c>
      <c r="E1472">
        <v>0</v>
      </c>
      <c r="F1472">
        <v>0</v>
      </c>
      <c r="G1472">
        <v>740.77081999999996</v>
      </c>
      <c r="I1472">
        <f t="shared" si="88"/>
        <v>0</v>
      </c>
      <c r="J1472">
        <f t="shared" si="89"/>
        <v>-50.706825936458621</v>
      </c>
      <c r="K1472">
        <f t="shared" si="90"/>
        <v>0</v>
      </c>
      <c r="L1472">
        <f t="shared" si="91"/>
        <v>0</v>
      </c>
    </row>
    <row r="1473" spans="1:12" x14ac:dyDescent="0.35">
      <c r="A1473" s="1" t="s">
        <v>80</v>
      </c>
      <c r="B1473">
        <v>0.16600000000000001</v>
      </c>
      <c r="C1473">
        <v>0</v>
      </c>
      <c r="D1473">
        <v>0</v>
      </c>
      <c r="E1473">
        <v>-202.23429300000001</v>
      </c>
      <c r="F1473">
        <v>0</v>
      </c>
      <c r="G1473">
        <v>741.01181999999994</v>
      </c>
      <c r="I1473">
        <f t="shared" si="88"/>
        <v>0</v>
      </c>
      <c r="J1473">
        <f t="shared" si="89"/>
        <v>0</v>
      </c>
      <c r="K1473">
        <f t="shared" si="90"/>
        <v>-4047.4859230760812</v>
      </c>
      <c r="L1473">
        <f t="shared" si="91"/>
        <v>0</v>
      </c>
    </row>
    <row r="1474" spans="1:12" x14ac:dyDescent="0.35">
      <c r="A1474" s="1" t="s">
        <v>81</v>
      </c>
      <c r="B1474">
        <v>0.09</v>
      </c>
      <c r="C1474">
        <v>0</v>
      </c>
      <c r="D1474">
        <v>0</v>
      </c>
      <c r="E1474">
        <v>0</v>
      </c>
      <c r="F1474">
        <v>-13632</v>
      </c>
      <c r="G1474">
        <v>741.55267000000003</v>
      </c>
      <c r="I1474">
        <f t="shared" si="88"/>
        <v>0</v>
      </c>
      <c r="J1474">
        <f t="shared" si="89"/>
        <v>0</v>
      </c>
      <c r="K1474">
        <f t="shared" si="90"/>
        <v>0</v>
      </c>
      <c r="L1474">
        <f t="shared" si="91"/>
        <v>-272828.74375501258</v>
      </c>
    </row>
    <row r="1475" spans="1:12" x14ac:dyDescent="0.35">
      <c r="A1475" s="1" t="s">
        <v>82</v>
      </c>
      <c r="B1475">
        <v>0.21199999999999999</v>
      </c>
      <c r="C1475">
        <v>0</v>
      </c>
      <c r="D1475">
        <v>2.47240752</v>
      </c>
      <c r="E1475">
        <v>0</v>
      </c>
      <c r="F1475">
        <v>0</v>
      </c>
      <c r="G1475">
        <v>741.82466999999997</v>
      </c>
      <c r="I1475">
        <f t="shared" si="88"/>
        <v>0</v>
      </c>
      <c r="J1475">
        <f t="shared" si="89"/>
        <v>49.48238246273813</v>
      </c>
      <c r="K1475">
        <f t="shared" si="90"/>
        <v>0</v>
      </c>
      <c r="L1475">
        <f t="shared" si="91"/>
        <v>0</v>
      </c>
    </row>
    <row r="1476" spans="1:12" x14ac:dyDescent="0.35">
      <c r="A1476" s="1" t="s">
        <v>83</v>
      </c>
      <c r="B1476">
        <v>0.1</v>
      </c>
      <c r="C1476">
        <v>0</v>
      </c>
      <c r="D1476">
        <v>0</v>
      </c>
      <c r="E1476">
        <v>172.62799999999999</v>
      </c>
      <c r="F1476">
        <v>0</v>
      </c>
      <c r="G1476">
        <v>741.99967000000004</v>
      </c>
      <c r="I1476">
        <f t="shared" ref="I1476:I1539" si="92">$H$2*$C1476/$B1476</f>
        <v>0</v>
      </c>
      <c r="J1476">
        <f t="shared" ref="J1476:J1539" si="93">$H$2*$D1476</f>
        <v>0</v>
      </c>
      <c r="K1476">
        <f t="shared" ref="K1476:K1539" si="94">$H$2*$E1476</f>
        <v>3454.9501450220296</v>
      </c>
      <c r="L1476">
        <f t="shared" ref="L1476:L1539" si="95">$H$2*$F1476</f>
        <v>0</v>
      </c>
    </row>
    <row r="1477" spans="1:12" x14ac:dyDescent="0.35">
      <c r="A1477" s="1" t="s">
        <v>83</v>
      </c>
      <c r="B1477">
        <v>0.1</v>
      </c>
      <c r="C1477">
        <v>0</v>
      </c>
      <c r="D1477">
        <v>0</v>
      </c>
      <c r="E1477">
        <v>172.62799999999999</v>
      </c>
      <c r="F1477">
        <v>0</v>
      </c>
      <c r="G1477">
        <f>0.1+741.99967</f>
        <v>742.09967000000006</v>
      </c>
      <c r="I1477">
        <f t="shared" si="92"/>
        <v>0</v>
      </c>
      <c r="J1477">
        <f t="shared" si="93"/>
        <v>0</v>
      </c>
      <c r="K1477">
        <f t="shared" si="94"/>
        <v>3454.9501450220296</v>
      </c>
      <c r="L1477">
        <f t="shared" si="95"/>
        <v>0</v>
      </c>
    </row>
    <row r="1478" spans="1:12" x14ac:dyDescent="0.35">
      <c r="A1478" s="1" t="s">
        <v>84</v>
      </c>
      <c r="B1478">
        <v>0.21199999999999999</v>
      </c>
      <c r="C1478">
        <v>0</v>
      </c>
      <c r="D1478">
        <v>2.47240752</v>
      </c>
      <c r="E1478">
        <v>0</v>
      </c>
      <c r="F1478">
        <v>0</v>
      </c>
      <c r="G1478">
        <v>742.38666999999998</v>
      </c>
      <c r="I1478">
        <f t="shared" si="92"/>
        <v>0</v>
      </c>
      <c r="J1478">
        <f t="shared" si="93"/>
        <v>49.48238246273813</v>
      </c>
      <c r="K1478">
        <f t="shared" si="94"/>
        <v>0</v>
      </c>
      <c r="L1478">
        <f t="shared" si="95"/>
        <v>0</v>
      </c>
    </row>
    <row r="1479" spans="1:12" x14ac:dyDescent="0.35">
      <c r="A1479" s="1" t="s">
        <v>85</v>
      </c>
      <c r="B1479">
        <v>0.16600000000000001</v>
      </c>
      <c r="C1479">
        <v>0</v>
      </c>
      <c r="D1479">
        <v>0</v>
      </c>
      <c r="E1479">
        <v>-132.861086</v>
      </c>
      <c r="F1479">
        <v>0</v>
      </c>
      <c r="G1479">
        <v>743.15353000000005</v>
      </c>
      <c r="I1479">
        <f t="shared" si="92"/>
        <v>0</v>
      </c>
      <c r="J1479">
        <f t="shared" si="93"/>
        <v>0</v>
      </c>
      <c r="K1479">
        <f t="shared" si="94"/>
        <v>-2659.0612666744933</v>
      </c>
      <c r="L1479">
        <f t="shared" si="95"/>
        <v>0</v>
      </c>
    </row>
    <row r="1480" spans="1:12" x14ac:dyDescent="0.35">
      <c r="A1480" s="1" t="s">
        <v>86</v>
      </c>
      <c r="B1480">
        <v>0.21199999999999999</v>
      </c>
      <c r="C1480">
        <v>0</v>
      </c>
      <c r="D1480">
        <v>-2.3709669899999999</v>
      </c>
      <c r="E1480">
        <v>0</v>
      </c>
      <c r="F1480">
        <v>0</v>
      </c>
      <c r="G1480">
        <v>743.44052999999997</v>
      </c>
      <c r="I1480">
        <f t="shared" si="92"/>
        <v>0</v>
      </c>
      <c r="J1480">
        <f t="shared" si="93"/>
        <v>-47.452167353748784</v>
      </c>
      <c r="K1480">
        <f t="shared" si="94"/>
        <v>0</v>
      </c>
      <c r="L1480">
        <f t="shared" si="95"/>
        <v>0</v>
      </c>
    </row>
    <row r="1481" spans="1:12" x14ac:dyDescent="0.35">
      <c r="A1481" s="1" t="s">
        <v>48</v>
      </c>
      <c r="B1481">
        <v>0.41782794400000001</v>
      </c>
      <c r="C1481">
        <v>2.3392E-3</v>
      </c>
      <c r="D1481">
        <v>0</v>
      </c>
      <c r="E1481">
        <v>0</v>
      </c>
      <c r="F1481">
        <v>0</v>
      </c>
      <c r="G1481">
        <v>743.90535999999997</v>
      </c>
      <c r="I1481">
        <f t="shared" si="92"/>
        <v>0.11204704805350077</v>
      </c>
      <c r="J1481">
        <f t="shared" si="93"/>
        <v>0</v>
      </c>
      <c r="K1481">
        <f t="shared" si="94"/>
        <v>0</v>
      </c>
      <c r="L1481">
        <f t="shared" si="95"/>
        <v>0</v>
      </c>
    </row>
    <row r="1482" spans="1:12" x14ac:dyDescent="0.35">
      <c r="A1482" s="1" t="s">
        <v>49</v>
      </c>
      <c r="B1482">
        <v>0.41782808399999999</v>
      </c>
      <c r="C1482">
        <v>3.2192000000000002E-3</v>
      </c>
      <c r="D1482">
        <v>0</v>
      </c>
      <c r="E1482">
        <v>0</v>
      </c>
      <c r="F1482">
        <v>0</v>
      </c>
      <c r="G1482">
        <v>744.32317999999998</v>
      </c>
      <c r="I1482">
        <f t="shared" si="92"/>
        <v>0.15419875865034546</v>
      </c>
      <c r="J1482">
        <f t="shared" si="93"/>
        <v>0</v>
      </c>
      <c r="K1482">
        <f t="shared" si="94"/>
        <v>0</v>
      </c>
      <c r="L1482">
        <f t="shared" si="95"/>
        <v>0</v>
      </c>
    </row>
    <row r="1483" spans="1:12" x14ac:dyDescent="0.35">
      <c r="A1483" s="1" t="s">
        <v>50</v>
      </c>
      <c r="B1483">
        <v>0.41782827500000003</v>
      </c>
      <c r="C1483">
        <v>4.1392E-3</v>
      </c>
      <c r="D1483">
        <v>0</v>
      </c>
      <c r="E1483">
        <v>0</v>
      </c>
      <c r="F1483">
        <v>0</v>
      </c>
      <c r="G1483">
        <v>744.74100999999996</v>
      </c>
      <c r="I1483">
        <f t="shared" si="92"/>
        <v>0.19826640470947862</v>
      </c>
      <c r="J1483">
        <f t="shared" si="93"/>
        <v>0</v>
      </c>
      <c r="K1483">
        <f t="shared" si="94"/>
        <v>0</v>
      </c>
      <c r="L1483">
        <f t="shared" si="95"/>
        <v>0</v>
      </c>
    </row>
    <row r="1484" spans="1:12" x14ac:dyDescent="0.35">
      <c r="A1484" s="1" t="s">
        <v>51</v>
      </c>
      <c r="B1484">
        <v>0.41782864199999997</v>
      </c>
      <c r="C1484">
        <v>5.4992000000000001E-3</v>
      </c>
      <c r="D1484">
        <v>0</v>
      </c>
      <c r="E1484">
        <v>0</v>
      </c>
      <c r="F1484">
        <v>0</v>
      </c>
      <c r="G1484">
        <v>745.15884000000005</v>
      </c>
      <c r="I1484">
        <f t="shared" si="92"/>
        <v>0.26340975432619773</v>
      </c>
      <c r="J1484">
        <f t="shared" si="93"/>
        <v>0</v>
      </c>
      <c r="K1484">
        <f t="shared" si="94"/>
        <v>0</v>
      </c>
      <c r="L1484">
        <f t="shared" si="95"/>
        <v>0</v>
      </c>
    </row>
    <row r="1485" spans="1:12" x14ac:dyDescent="0.35">
      <c r="A1485" s="1" t="s">
        <v>52</v>
      </c>
      <c r="B1485">
        <v>0.41783028900000002</v>
      </c>
      <c r="C1485">
        <v>9.4690999999999994E-3</v>
      </c>
      <c r="D1485">
        <v>0</v>
      </c>
      <c r="E1485">
        <v>0</v>
      </c>
      <c r="F1485">
        <v>0</v>
      </c>
      <c r="G1485">
        <v>745.57667000000004</v>
      </c>
      <c r="I1485">
        <f t="shared" si="92"/>
        <v>0.45356478630764774</v>
      </c>
      <c r="J1485">
        <f t="shared" si="93"/>
        <v>0</v>
      </c>
      <c r="K1485">
        <f t="shared" si="94"/>
        <v>0</v>
      </c>
      <c r="L1485">
        <f t="shared" si="95"/>
        <v>0</v>
      </c>
    </row>
    <row r="1486" spans="1:12" x14ac:dyDescent="0.35">
      <c r="A1486" s="1" t="s">
        <v>87</v>
      </c>
      <c r="B1486">
        <v>0.16200000000000001</v>
      </c>
      <c r="C1486">
        <v>0</v>
      </c>
      <c r="D1486">
        <v>-2.8698264299999998</v>
      </c>
      <c r="E1486">
        <v>0</v>
      </c>
      <c r="F1486">
        <v>0</v>
      </c>
      <c r="G1486">
        <v>745.78566999999998</v>
      </c>
      <c r="I1486">
        <f t="shared" si="92"/>
        <v>0</v>
      </c>
      <c r="J1486">
        <f t="shared" si="93"/>
        <v>-57.436263181619168</v>
      </c>
      <c r="K1486">
        <f t="shared" si="94"/>
        <v>0</v>
      </c>
      <c r="L1486">
        <f t="shared" si="95"/>
        <v>0</v>
      </c>
    </row>
    <row r="1487" spans="1:12" x14ac:dyDescent="0.35">
      <c r="A1487" s="1" t="s">
        <v>54</v>
      </c>
      <c r="B1487">
        <v>0.1</v>
      </c>
      <c r="C1487">
        <v>0</v>
      </c>
      <c r="D1487">
        <v>0</v>
      </c>
      <c r="E1487">
        <v>0</v>
      </c>
      <c r="F1487">
        <v>0</v>
      </c>
      <c r="G1487">
        <v>746.11567000000002</v>
      </c>
      <c r="I1487">
        <f t="shared" si="92"/>
        <v>0</v>
      </c>
      <c r="J1487">
        <f t="shared" si="93"/>
        <v>0</v>
      </c>
      <c r="K1487">
        <f t="shared" si="94"/>
        <v>0</v>
      </c>
      <c r="L1487">
        <f t="shared" si="95"/>
        <v>0</v>
      </c>
    </row>
    <row r="1488" spans="1:12" x14ac:dyDescent="0.35">
      <c r="A1488" s="1" t="s">
        <v>88</v>
      </c>
      <c r="B1488">
        <v>0.29499999999999998</v>
      </c>
      <c r="C1488">
        <v>0</v>
      </c>
      <c r="D1488">
        <v>2.43875777</v>
      </c>
      <c r="E1488">
        <v>0</v>
      </c>
      <c r="F1488">
        <v>0</v>
      </c>
      <c r="G1488">
        <v>746.52067</v>
      </c>
      <c r="I1488">
        <f t="shared" si="92"/>
        <v>0</v>
      </c>
      <c r="J1488">
        <f t="shared" si="93"/>
        <v>48.808921560436907</v>
      </c>
      <c r="K1488">
        <f t="shared" si="94"/>
        <v>0</v>
      </c>
      <c r="L1488">
        <f t="shared" si="95"/>
        <v>0</v>
      </c>
    </row>
    <row r="1489" spans="1:12" x14ac:dyDescent="0.35">
      <c r="A1489" s="1" t="s">
        <v>56</v>
      </c>
      <c r="B1489">
        <v>0.29499999999999998</v>
      </c>
      <c r="C1489">
        <v>0</v>
      </c>
      <c r="D1489">
        <v>2.43875777</v>
      </c>
      <c r="E1489">
        <v>0</v>
      </c>
      <c r="F1489">
        <v>0</v>
      </c>
      <c r="G1489">
        <v>752.39382000000001</v>
      </c>
      <c r="I1489">
        <f t="shared" si="92"/>
        <v>0</v>
      </c>
      <c r="J1489">
        <f t="shared" si="93"/>
        <v>48.808921560436907</v>
      </c>
      <c r="K1489">
        <f t="shared" si="94"/>
        <v>0</v>
      </c>
      <c r="L1489">
        <f t="shared" si="95"/>
        <v>0</v>
      </c>
    </row>
    <row r="1490" spans="1:12" x14ac:dyDescent="0.35">
      <c r="A1490" s="1" t="s">
        <v>2</v>
      </c>
      <c r="B1490">
        <v>0.1</v>
      </c>
      <c r="C1490">
        <v>0</v>
      </c>
      <c r="D1490">
        <v>0</v>
      </c>
      <c r="E1490">
        <v>0</v>
      </c>
      <c r="F1490">
        <v>0</v>
      </c>
      <c r="G1490">
        <v>752.60382000000004</v>
      </c>
      <c r="I1490">
        <f t="shared" si="92"/>
        <v>0</v>
      </c>
      <c r="J1490">
        <f t="shared" si="93"/>
        <v>0</v>
      </c>
      <c r="K1490">
        <f t="shared" si="94"/>
        <v>0</v>
      </c>
      <c r="L1490">
        <f t="shared" si="95"/>
        <v>0</v>
      </c>
    </row>
    <row r="1491" spans="1:12" x14ac:dyDescent="0.35">
      <c r="A1491" s="1" t="s">
        <v>57</v>
      </c>
      <c r="B1491">
        <v>0.16200000000000001</v>
      </c>
      <c r="C1491">
        <v>0</v>
      </c>
      <c r="D1491">
        <v>-2.8698264299999998</v>
      </c>
      <c r="E1491">
        <v>0</v>
      </c>
      <c r="F1491">
        <v>0</v>
      </c>
      <c r="G1491">
        <v>752.99581999999998</v>
      </c>
      <c r="I1491">
        <f t="shared" si="92"/>
        <v>0</v>
      </c>
      <c r="J1491">
        <f t="shared" si="93"/>
        <v>-57.436263181619168</v>
      </c>
      <c r="K1491">
        <f t="shared" si="94"/>
        <v>0</v>
      </c>
      <c r="L1491">
        <f t="shared" si="95"/>
        <v>0</v>
      </c>
    </row>
    <row r="1492" spans="1:12" x14ac:dyDescent="0.35">
      <c r="A1492" s="1" t="s">
        <v>58</v>
      </c>
      <c r="B1492">
        <v>0.41783028900000002</v>
      </c>
      <c r="C1492">
        <v>9.4690999999999994E-3</v>
      </c>
      <c r="D1492">
        <v>0</v>
      </c>
      <c r="E1492">
        <v>0</v>
      </c>
      <c r="F1492">
        <v>0</v>
      </c>
      <c r="G1492">
        <v>753.46064999999999</v>
      </c>
      <c r="I1492">
        <f t="shared" si="92"/>
        <v>0.45356478630764774</v>
      </c>
      <c r="J1492">
        <f t="shared" si="93"/>
        <v>0</v>
      </c>
      <c r="K1492">
        <f t="shared" si="94"/>
        <v>0</v>
      </c>
      <c r="L1492">
        <f t="shared" si="95"/>
        <v>0</v>
      </c>
    </row>
    <row r="1493" spans="1:12" x14ac:dyDescent="0.35">
      <c r="A1493" s="1" t="s">
        <v>59</v>
      </c>
      <c r="B1493">
        <v>0.41782864199999997</v>
      </c>
      <c r="C1493">
        <v>5.4992000000000001E-3</v>
      </c>
      <c r="D1493">
        <v>0</v>
      </c>
      <c r="E1493">
        <v>0</v>
      </c>
      <c r="F1493">
        <v>0</v>
      </c>
      <c r="G1493">
        <v>753.87847999999997</v>
      </c>
      <c r="I1493">
        <f t="shared" si="92"/>
        <v>0.26340975432619773</v>
      </c>
      <c r="J1493">
        <f t="shared" si="93"/>
        <v>0</v>
      </c>
      <c r="K1493">
        <f t="shared" si="94"/>
        <v>0</v>
      </c>
      <c r="L1493">
        <f t="shared" si="95"/>
        <v>0</v>
      </c>
    </row>
    <row r="1494" spans="1:12" x14ac:dyDescent="0.35">
      <c r="A1494" s="1" t="s">
        <v>60</v>
      </c>
      <c r="B1494">
        <v>0.41782827500000003</v>
      </c>
      <c r="C1494">
        <v>4.1392E-3</v>
      </c>
      <c r="D1494">
        <v>0</v>
      </c>
      <c r="E1494">
        <v>0</v>
      </c>
      <c r="F1494">
        <v>0</v>
      </c>
      <c r="G1494">
        <v>754.29630999999995</v>
      </c>
      <c r="I1494">
        <f t="shared" si="92"/>
        <v>0.19826640470947862</v>
      </c>
      <c r="J1494">
        <f t="shared" si="93"/>
        <v>0</v>
      </c>
      <c r="K1494">
        <f t="shared" si="94"/>
        <v>0</v>
      </c>
      <c r="L1494">
        <f t="shared" si="95"/>
        <v>0</v>
      </c>
    </row>
    <row r="1495" spans="1:12" x14ac:dyDescent="0.35">
      <c r="A1495" s="1" t="s">
        <v>61</v>
      </c>
      <c r="B1495">
        <v>0.41782808399999999</v>
      </c>
      <c r="C1495">
        <v>3.2192000000000002E-3</v>
      </c>
      <c r="D1495">
        <v>0</v>
      </c>
      <c r="E1495">
        <v>0</v>
      </c>
      <c r="F1495">
        <v>0</v>
      </c>
      <c r="G1495">
        <v>754.71414000000004</v>
      </c>
      <c r="I1495">
        <f t="shared" si="92"/>
        <v>0.15419875865034546</v>
      </c>
      <c r="J1495">
        <f t="shared" si="93"/>
        <v>0</v>
      </c>
      <c r="K1495">
        <f t="shared" si="94"/>
        <v>0</v>
      </c>
      <c r="L1495">
        <f t="shared" si="95"/>
        <v>0</v>
      </c>
    </row>
    <row r="1496" spans="1:12" x14ac:dyDescent="0.35">
      <c r="A1496" s="1" t="s">
        <v>62</v>
      </c>
      <c r="B1496">
        <v>0.41782794400000001</v>
      </c>
      <c r="C1496">
        <v>2.3392E-3</v>
      </c>
      <c r="D1496">
        <v>0</v>
      </c>
      <c r="E1496">
        <v>0</v>
      </c>
      <c r="F1496">
        <v>0</v>
      </c>
      <c r="G1496">
        <v>755.13197000000002</v>
      </c>
      <c r="I1496">
        <f t="shared" si="92"/>
        <v>0.11204704805350077</v>
      </c>
      <c r="J1496">
        <f t="shared" si="93"/>
        <v>0</v>
      </c>
      <c r="K1496">
        <f t="shared" si="94"/>
        <v>0</v>
      </c>
      <c r="L1496">
        <f t="shared" si="95"/>
        <v>0</v>
      </c>
    </row>
    <row r="1497" spans="1:12" x14ac:dyDescent="0.35">
      <c r="A1497" s="1" t="s">
        <v>63</v>
      </c>
      <c r="B1497">
        <v>0.21199999999999999</v>
      </c>
      <c r="C1497">
        <v>0</v>
      </c>
      <c r="D1497">
        <v>-2.3709669899999999</v>
      </c>
      <c r="E1497">
        <v>0</v>
      </c>
      <c r="F1497">
        <v>0</v>
      </c>
      <c r="G1497">
        <v>755.39097000000004</v>
      </c>
      <c r="I1497">
        <f t="shared" si="92"/>
        <v>0</v>
      </c>
      <c r="J1497">
        <f t="shared" si="93"/>
        <v>-47.452167353748784</v>
      </c>
      <c r="K1497">
        <f t="shared" si="94"/>
        <v>0</v>
      </c>
      <c r="L1497">
        <f t="shared" si="95"/>
        <v>0</v>
      </c>
    </row>
    <row r="1498" spans="1:12" x14ac:dyDescent="0.35">
      <c r="A1498" s="1" t="s">
        <v>64</v>
      </c>
      <c r="B1498">
        <v>0.16600000000000001</v>
      </c>
      <c r="C1498">
        <v>0</v>
      </c>
      <c r="D1498">
        <v>0</v>
      </c>
      <c r="E1498">
        <v>-132.861086</v>
      </c>
      <c r="F1498">
        <v>0</v>
      </c>
      <c r="G1498">
        <v>755.63197000000002</v>
      </c>
      <c r="I1498">
        <f t="shared" si="92"/>
        <v>0</v>
      </c>
      <c r="J1498">
        <f t="shared" si="93"/>
        <v>0</v>
      </c>
      <c r="K1498">
        <f t="shared" si="94"/>
        <v>-2659.0612666744933</v>
      </c>
      <c r="L1498">
        <f t="shared" si="95"/>
        <v>0</v>
      </c>
    </row>
    <row r="1499" spans="1:12" x14ac:dyDescent="0.35">
      <c r="A1499" s="1" t="s">
        <v>65</v>
      </c>
      <c r="B1499">
        <v>0.21199999999999999</v>
      </c>
      <c r="C1499">
        <v>0</v>
      </c>
      <c r="D1499">
        <v>2.47240752</v>
      </c>
      <c r="E1499">
        <v>0</v>
      </c>
      <c r="F1499">
        <v>0</v>
      </c>
      <c r="G1499">
        <v>756.44482000000005</v>
      </c>
      <c r="I1499">
        <f t="shared" si="92"/>
        <v>0</v>
      </c>
      <c r="J1499">
        <f t="shared" si="93"/>
        <v>49.48238246273813</v>
      </c>
      <c r="K1499">
        <f t="shared" si="94"/>
        <v>0</v>
      </c>
      <c r="L1499">
        <f t="shared" si="95"/>
        <v>0</v>
      </c>
    </row>
    <row r="1500" spans="1:12" x14ac:dyDescent="0.35">
      <c r="A1500" s="1" t="s">
        <v>66</v>
      </c>
      <c r="B1500">
        <v>0.1</v>
      </c>
      <c r="C1500">
        <v>0</v>
      </c>
      <c r="D1500">
        <v>0</v>
      </c>
      <c r="E1500">
        <v>172.62799999999999</v>
      </c>
      <c r="F1500">
        <v>0</v>
      </c>
      <c r="G1500">
        <v>756.61982</v>
      </c>
      <c r="I1500">
        <f t="shared" si="92"/>
        <v>0</v>
      </c>
      <c r="J1500">
        <f t="shared" si="93"/>
        <v>0</v>
      </c>
      <c r="K1500">
        <f t="shared" si="94"/>
        <v>3454.9501450220296</v>
      </c>
      <c r="L1500">
        <f t="shared" si="95"/>
        <v>0</v>
      </c>
    </row>
    <row r="1501" spans="1:12" x14ac:dyDescent="0.35">
      <c r="A1501" s="1" t="s">
        <v>66</v>
      </c>
      <c r="B1501">
        <v>0.1</v>
      </c>
      <c r="C1501">
        <v>0</v>
      </c>
      <c r="D1501">
        <v>0</v>
      </c>
      <c r="E1501">
        <v>172.62799999999999</v>
      </c>
      <c r="F1501">
        <v>0</v>
      </c>
      <c r="G1501">
        <f>756.61982+0.1</f>
        <v>756.71982000000003</v>
      </c>
      <c r="I1501">
        <f t="shared" si="92"/>
        <v>0</v>
      </c>
      <c r="J1501">
        <f t="shared" si="93"/>
        <v>0</v>
      </c>
      <c r="K1501">
        <f t="shared" si="94"/>
        <v>3454.9501450220296</v>
      </c>
      <c r="L1501">
        <f t="shared" si="95"/>
        <v>0</v>
      </c>
    </row>
    <row r="1502" spans="1:12" x14ac:dyDescent="0.35">
      <c r="A1502" s="1" t="s">
        <v>67</v>
      </c>
      <c r="B1502">
        <v>0.21199999999999999</v>
      </c>
      <c r="C1502">
        <v>0</v>
      </c>
      <c r="D1502">
        <v>2.47240752</v>
      </c>
      <c r="E1502">
        <v>0</v>
      </c>
      <c r="F1502">
        <v>0</v>
      </c>
      <c r="G1502">
        <v>757.00681999999995</v>
      </c>
      <c r="I1502">
        <f t="shared" si="92"/>
        <v>0</v>
      </c>
      <c r="J1502">
        <f t="shared" si="93"/>
        <v>49.48238246273813</v>
      </c>
      <c r="K1502">
        <f t="shared" si="94"/>
        <v>0</v>
      </c>
      <c r="L1502">
        <f t="shared" si="95"/>
        <v>0</v>
      </c>
    </row>
    <row r="1503" spans="1:12" x14ac:dyDescent="0.35">
      <c r="A1503" s="1" t="s">
        <v>68</v>
      </c>
      <c r="B1503">
        <v>0.09</v>
      </c>
      <c r="C1503">
        <v>0</v>
      </c>
      <c r="D1503">
        <v>0</v>
      </c>
      <c r="E1503">
        <v>0</v>
      </c>
      <c r="F1503">
        <v>-13632</v>
      </c>
      <c r="G1503">
        <v>757.15682000000004</v>
      </c>
      <c r="I1503">
        <f t="shared" si="92"/>
        <v>0</v>
      </c>
      <c r="J1503">
        <f t="shared" si="93"/>
        <v>0</v>
      </c>
      <c r="K1503">
        <f t="shared" si="94"/>
        <v>0</v>
      </c>
      <c r="L1503">
        <f t="shared" si="95"/>
        <v>-272828.74375501258</v>
      </c>
    </row>
    <row r="1504" spans="1:12" x14ac:dyDescent="0.35">
      <c r="A1504" s="1" t="s">
        <v>69</v>
      </c>
      <c r="B1504">
        <v>0.16600000000000001</v>
      </c>
      <c r="C1504">
        <v>0</v>
      </c>
      <c r="D1504">
        <v>0</v>
      </c>
      <c r="E1504">
        <v>-202.23429300000001</v>
      </c>
      <c r="F1504">
        <v>0</v>
      </c>
      <c r="G1504">
        <v>757.77367000000004</v>
      </c>
      <c r="I1504">
        <f t="shared" si="92"/>
        <v>0</v>
      </c>
      <c r="J1504">
        <f t="shared" si="93"/>
        <v>0</v>
      </c>
      <c r="K1504">
        <f t="shared" si="94"/>
        <v>-4047.4859230760812</v>
      </c>
      <c r="L1504">
        <f t="shared" si="95"/>
        <v>0</v>
      </c>
    </row>
    <row r="1505" spans="1:12" x14ac:dyDescent="0.35">
      <c r="A1505" s="1" t="s">
        <v>70</v>
      </c>
      <c r="B1505">
        <v>0.21199999999999999</v>
      </c>
      <c r="C1505">
        <v>0</v>
      </c>
      <c r="D1505">
        <v>-2.53358734</v>
      </c>
      <c r="E1505">
        <v>0</v>
      </c>
      <c r="F1505">
        <v>0</v>
      </c>
      <c r="G1505">
        <v>758.06066999999996</v>
      </c>
      <c r="I1505">
        <f t="shared" si="92"/>
        <v>0</v>
      </c>
      <c r="J1505">
        <f t="shared" si="93"/>
        <v>-50.706825936458621</v>
      </c>
      <c r="K1505">
        <f t="shared" si="94"/>
        <v>0</v>
      </c>
      <c r="L1505">
        <f t="shared" si="95"/>
        <v>0</v>
      </c>
    </row>
    <row r="1506" spans="1:12" x14ac:dyDescent="0.35">
      <c r="A1506" s="1" t="s">
        <v>20</v>
      </c>
      <c r="B1506">
        <v>0.41782794400000001</v>
      </c>
      <c r="C1506">
        <v>2.3392E-3</v>
      </c>
      <c r="D1506">
        <v>0</v>
      </c>
      <c r="E1506">
        <v>0</v>
      </c>
      <c r="F1506">
        <v>0</v>
      </c>
      <c r="G1506">
        <v>758.52549999999997</v>
      </c>
      <c r="I1506">
        <f t="shared" si="92"/>
        <v>0.11204704805350077</v>
      </c>
      <c r="J1506">
        <f t="shared" si="93"/>
        <v>0</v>
      </c>
      <c r="K1506">
        <f t="shared" si="94"/>
        <v>0</v>
      </c>
      <c r="L1506">
        <f t="shared" si="95"/>
        <v>0</v>
      </c>
    </row>
    <row r="1507" spans="1:12" x14ac:dyDescent="0.35">
      <c r="A1507" s="1" t="s">
        <v>21</v>
      </c>
      <c r="B1507">
        <v>0.41782808399999999</v>
      </c>
      <c r="C1507">
        <v>3.2192000000000002E-3</v>
      </c>
      <c r="D1507">
        <v>0</v>
      </c>
      <c r="E1507">
        <v>0</v>
      </c>
      <c r="F1507">
        <v>0</v>
      </c>
      <c r="G1507">
        <v>758.94332999999995</v>
      </c>
      <c r="I1507">
        <f t="shared" si="92"/>
        <v>0.15419875865034546</v>
      </c>
      <c r="J1507">
        <f t="shared" si="93"/>
        <v>0</v>
      </c>
      <c r="K1507">
        <f t="shared" si="94"/>
        <v>0</v>
      </c>
      <c r="L1507">
        <f t="shared" si="95"/>
        <v>0</v>
      </c>
    </row>
    <row r="1508" spans="1:12" x14ac:dyDescent="0.35">
      <c r="A1508" s="1" t="s">
        <v>22</v>
      </c>
      <c r="B1508">
        <v>0.41782827500000003</v>
      </c>
      <c r="C1508">
        <v>4.1392E-3</v>
      </c>
      <c r="D1508">
        <v>0</v>
      </c>
      <c r="E1508">
        <v>0</v>
      </c>
      <c r="F1508">
        <v>0</v>
      </c>
      <c r="G1508">
        <v>759.36116000000004</v>
      </c>
      <c r="I1508">
        <f t="shared" si="92"/>
        <v>0.19826640470947862</v>
      </c>
      <c r="J1508">
        <f t="shared" si="93"/>
        <v>0</v>
      </c>
      <c r="K1508">
        <f t="shared" si="94"/>
        <v>0</v>
      </c>
      <c r="L1508">
        <f t="shared" si="95"/>
        <v>0</v>
      </c>
    </row>
    <row r="1509" spans="1:12" x14ac:dyDescent="0.35">
      <c r="A1509" s="1" t="s">
        <v>23</v>
      </c>
      <c r="B1509">
        <v>0.41782864199999997</v>
      </c>
      <c r="C1509">
        <v>5.4992000000000001E-3</v>
      </c>
      <c r="D1509">
        <v>0</v>
      </c>
      <c r="E1509">
        <v>0</v>
      </c>
      <c r="F1509">
        <v>0</v>
      </c>
      <c r="G1509">
        <v>759.77899000000002</v>
      </c>
      <c r="I1509">
        <f t="shared" si="92"/>
        <v>0.26340975432619773</v>
      </c>
      <c r="J1509">
        <f t="shared" si="93"/>
        <v>0</v>
      </c>
      <c r="K1509">
        <f t="shared" si="94"/>
        <v>0</v>
      </c>
      <c r="L1509">
        <f t="shared" si="95"/>
        <v>0</v>
      </c>
    </row>
    <row r="1510" spans="1:12" x14ac:dyDescent="0.35">
      <c r="A1510" s="1" t="s">
        <v>24</v>
      </c>
      <c r="B1510">
        <v>0.41782941899999998</v>
      </c>
      <c r="C1510">
        <v>7.6290999999999998E-3</v>
      </c>
      <c r="D1510">
        <v>0</v>
      </c>
      <c r="E1510">
        <v>0</v>
      </c>
      <c r="F1510">
        <v>0</v>
      </c>
      <c r="G1510">
        <v>760.19682</v>
      </c>
      <c r="I1510">
        <f t="shared" si="92"/>
        <v>0.36543053893202671</v>
      </c>
      <c r="J1510">
        <f t="shared" si="93"/>
        <v>0</v>
      </c>
      <c r="K1510">
        <f t="shared" si="94"/>
        <v>0</v>
      </c>
      <c r="L1510">
        <f t="shared" si="95"/>
        <v>0</v>
      </c>
    </row>
    <row r="1511" spans="1:12" x14ac:dyDescent="0.35">
      <c r="A1511" s="1" t="s">
        <v>71</v>
      </c>
      <c r="B1511">
        <v>0.3745</v>
      </c>
      <c r="C1511">
        <v>0</v>
      </c>
      <c r="D1511">
        <v>4.5116622</v>
      </c>
      <c r="E1511">
        <v>0</v>
      </c>
      <c r="F1511">
        <v>0</v>
      </c>
      <c r="G1511">
        <v>760.72131999999999</v>
      </c>
      <c r="I1511">
        <f t="shared" si="92"/>
        <v>0</v>
      </c>
      <c r="J1511">
        <f t="shared" si="93"/>
        <v>90.29571084748946</v>
      </c>
      <c r="K1511">
        <f t="shared" si="94"/>
        <v>0</v>
      </c>
      <c r="L1511">
        <f t="shared" si="95"/>
        <v>0</v>
      </c>
    </row>
    <row r="1512" spans="1:12" x14ac:dyDescent="0.35">
      <c r="A1512" s="1" t="s">
        <v>72</v>
      </c>
      <c r="B1512">
        <v>1.0280365199999999</v>
      </c>
      <c r="C1512">
        <v>2.4767999999999998E-2</v>
      </c>
      <c r="D1512">
        <v>-1.929</v>
      </c>
      <c r="E1512">
        <v>0</v>
      </c>
      <c r="F1512">
        <v>0</v>
      </c>
      <c r="G1512">
        <v>761.83934999999997</v>
      </c>
      <c r="I1512">
        <f t="shared" si="92"/>
        <v>0.48218416286837618</v>
      </c>
      <c r="J1512">
        <f t="shared" si="93"/>
        <v>-38.606708238220314</v>
      </c>
      <c r="K1512">
        <f t="shared" si="94"/>
        <v>0</v>
      </c>
      <c r="L1512">
        <f t="shared" si="95"/>
        <v>0</v>
      </c>
    </row>
    <row r="1513" spans="1:12" x14ac:dyDescent="0.35">
      <c r="A1513" s="1" t="s">
        <v>73</v>
      </c>
      <c r="B1513">
        <v>0.4975</v>
      </c>
      <c r="C1513">
        <v>0</v>
      </c>
      <c r="D1513">
        <v>4.61414189</v>
      </c>
      <c r="E1513">
        <v>0</v>
      </c>
      <c r="F1513">
        <v>0</v>
      </c>
      <c r="G1513">
        <v>762.42684999999994</v>
      </c>
      <c r="I1513">
        <f t="shared" si="92"/>
        <v>0</v>
      </c>
      <c r="J1513">
        <f t="shared" si="93"/>
        <v>92.346723544313335</v>
      </c>
      <c r="K1513">
        <f t="shared" si="94"/>
        <v>0</v>
      </c>
      <c r="L1513">
        <f t="shared" si="95"/>
        <v>0</v>
      </c>
    </row>
    <row r="1514" spans="1:12" x14ac:dyDescent="0.35">
      <c r="A1514" s="1" t="s">
        <v>28</v>
      </c>
      <c r="B1514">
        <v>0.1</v>
      </c>
      <c r="C1514">
        <v>0</v>
      </c>
      <c r="D1514">
        <v>0</v>
      </c>
      <c r="E1514">
        <v>0</v>
      </c>
      <c r="F1514">
        <v>0</v>
      </c>
      <c r="G1514">
        <v>762.59792000000004</v>
      </c>
      <c r="I1514">
        <f t="shared" si="92"/>
        <v>0</v>
      </c>
      <c r="J1514">
        <f t="shared" si="93"/>
        <v>0</v>
      </c>
      <c r="K1514">
        <f t="shared" si="94"/>
        <v>0</v>
      </c>
      <c r="L1514">
        <f t="shared" si="95"/>
        <v>0</v>
      </c>
    </row>
    <row r="1515" spans="1:12" x14ac:dyDescent="0.35">
      <c r="A1515" s="1" t="s">
        <v>74</v>
      </c>
      <c r="B1515">
        <v>0.40000102700000001</v>
      </c>
      <c r="C1515">
        <v>5.2300999999999997E-3</v>
      </c>
      <c r="D1515">
        <v>-1.5815999999999999</v>
      </c>
      <c r="E1515">
        <v>0</v>
      </c>
      <c r="F1515">
        <v>0</v>
      </c>
      <c r="G1515">
        <v>763.09091999999998</v>
      </c>
      <c r="I1515">
        <f t="shared" si="92"/>
        <v>0.26168536331815889</v>
      </c>
      <c r="J1515">
        <f t="shared" si="93"/>
        <v>-31.653898263125576</v>
      </c>
      <c r="K1515">
        <f t="shared" si="94"/>
        <v>0</v>
      </c>
      <c r="L1515">
        <f t="shared" si="95"/>
        <v>0</v>
      </c>
    </row>
    <row r="1516" spans="1:12" x14ac:dyDescent="0.35">
      <c r="A1516" s="1" t="s">
        <v>30</v>
      </c>
      <c r="B1516">
        <v>2.44294E-2</v>
      </c>
      <c r="C1516">
        <v>1.0499000000000001E-3</v>
      </c>
      <c r="D1516">
        <v>0</v>
      </c>
      <c r="E1516">
        <v>0</v>
      </c>
      <c r="F1516">
        <v>0</v>
      </c>
      <c r="G1516">
        <v>763.18584999999996</v>
      </c>
      <c r="I1516">
        <f t="shared" si="92"/>
        <v>0.8601331402616047</v>
      </c>
      <c r="J1516">
        <f t="shared" si="93"/>
        <v>0</v>
      </c>
      <c r="K1516">
        <f t="shared" si="94"/>
        <v>0</v>
      </c>
      <c r="L1516">
        <f t="shared" si="95"/>
        <v>0</v>
      </c>
    </row>
    <row r="1517" spans="1:12" x14ac:dyDescent="0.35">
      <c r="A1517" s="1" t="s">
        <v>30</v>
      </c>
      <c r="B1517">
        <v>2.44294E-2</v>
      </c>
      <c r="C1517">
        <v>1.0499000000000001E-3</v>
      </c>
      <c r="D1517">
        <v>0</v>
      </c>
      <c r="E1517">
        <v>0</v>
      </c>
      <c r="F1517">
        <v>0</v>
      </c>
      <c r="G1517">
        <f>763.18585+0.0244294</f>
        <v>763.21027939999999</v>
      </c>
      <c r="I1517">
        <f t="shared" si="92"/>
        <v>0.8601331402616047</v>
      </c>
      <c r="J1517">
        <f t="shared" si="93"/>
        <v>0</v>
      </c>
      <c r="K1517">
        <f t="shared" si="94"/>
        <v>0</v>
      </c>
      <c r="L1517">
        <f t="shared" si="95"/>
        <v>0</v>
      </c>
    </row>
    <row r="1518" spans="1:12" x14ac:dyDescent="0.35">
      <c r="A1518" s="1" t="s">
        <v>75</v>
      </c>
      <c r="B1518">
        <v>0.40000102700000001</v>
      </c>
      <c r="C1518">
        <v>5.2300999999999997E-3</v>
      </c>
      <c r="D1518">
        <v>-1.5815999999999999</v>
      </c>
      <c r="E1518">
        <v>0</v>
      </c>
      <c r="F1518">
        <v>0</v>
      </c>
      <c r="G1518">
        <v>763.68078000000003</v>
      </c>
      <c r="I1518">
        <f t="shared" si="92"/>
        <v>0.26168536331815889</v>
      </c>
      <c r="J1518">
        <f t="shared" si="93"/>
        <v>-31.653898263125576</v>
      </c>
      <c r="K1518">
        <f t="shared" si="94"/>
        <v>0</v>
      </c>
      <c r="L1518">
        <f t="shared" si="95"/>
        <v>0</v>
      </c>
    </row>
    <row r="1519" spans="1:12" x14ac:dyDescent="0.35">
      <c r="A1519" s="1" t="s">
        <v>76</v>
      </c>
      <c r="B1519">
        <v>0.4975</v>
      </c>
      <c r="C1519">
        <v>0</v>
      </c>
      <c r="D1519">
        <v>4.61414189</v>
      </c>
      <c r="E1519">
        <v>0</v>
      </c>
      <c r="F1519">
        <v>0</v>
      </c>
      <c r="G1519">
        <v>764.44236000000001</v>
      </c>
      <c r="I1519">
        <f t="shared" si="92"/>
        <v>0</v>
      </c>
      <c r="J1519">
        <f t="shared" si="93"/>
        <v>92.346723544313335</v>
      </c>
      <c r="K1519">
        <f t="shared" si="94"/>
        <v>0</v>
      </c>
      <c r="L1519">
        <f t="shared" si="95"/>
        <v>0</v>
      </c>
    </row>
    <row r="1520" spans="1:12" x14ac:dyDescent="0.35">
      <c r="A1520" s="1" t="s">
        <v>77</v>
      </c>
      <c r="B1520">
        <v>1.0280365199999999</v>
      </c>
      <c r="C1520">
        <v>2.4767999999999998E-2</v>
      </c>
      <c r="D1520">
        <v>-1.929</v>
      </c>
      <c r="E1520">
        <v>0</v>
      </c>
      <c r="F1520">
        <v>0</v>
      </c>
      <c r="G1520">
        <v>765.56038999999998</v>
      </c>
      <c r="I1520">
        <f t="shared" si="92"/>
        <v>0.48218416286837618</v>
      </c>
      <c r="J1520">
        <f t="shared" si="93"/>
        <v>-38.606708238220314</v>
      </c>
      <c r="K1520">
        <f t="shared" si="94"/>
        <v>0</v>
      </c>
      <c r="L1520">
        <f t="shared" si="95"/>
        <v>0</v>
      </c>
    </row>
    <row r="1521" spans="1:12" x14ac:dyDescent="0.35">
      <c r="A1521" s="1" t="s">
        <v>78</v>
      </c>
      <c r="B1521">
        <v>0.3745</v>
      </c>
      <c r="C1521">
        <v>0</v>
      </c>
      <c r="D1521">
        <v>4.5116622</v>
      </c>
      <c r="E1521">
        <v>0</v>
      </c>
      <c r="F1521">
        <v>0</v>
      </c>
      <c r="G1521">
        <v>766.02489000000003</v>
      </c>
      <c r="I1521">
        <f t="shared" si="92"/>
        <v>0</v>
      </c>
      <c r="J1521">
        <f t="shared" si="93"/>
        <v>90.29571084748946</v>
      </c>
      <c r="K1521">
        <f t="shared" si="94"/>
        <v>0</v>
      </c>
      <c r="L1521">
        <f t="shared" si="95"/>
        <v>0</v>
      </c>
    </row>
    <row r="1522" spans="1:12" x14ac:dyDescent="0.35">
      <c r="A1522" s="1" t="s">
        <v>35</v>
      </c>
      <c r="B1522">
        <v>0.41782941899999998</v>
      </c>
      <c r="C1522">
        <v>7.6290999999999998E-3</v>
      </c>
      <c r="D1522">
        <v>0</v>
      </c>
      <c r="E1522">
        <v>0</v>
      </c>
      <c r="F1522">
        <v>0</v>
      </c>
      <c r="G1522">
        <v>766.59271999999999</v>
      </c>
      <c r="I1522">
        <f t="shared" si="92"/>
        <v>0.36543053893202671</v>
      </c>
      <c r="J1522">
        <f t="shared" si="93"/>
        <v>0</v>
      </c>
      <c r="K1522">
        <f t="shared" si="94"/>
        <v>0</v>
      </c>
      <c r="L1522">
        <f t="shared" si="95"/>
        <v>0</v>
      </c>
    </row>
    <row r="1523" spans="1:12" x14ac:dyDescent="0.35">
      <c r="A1523" s="1" t="s">
        <v>36</v>
      </c>
      <c r="B1523">
        <v>0.41782864199999997</v>
      </c>
      <c r="C1523">
        <v>5.4992000000000001E-3</v>
      </c>
      <c r="D1523">
        <v>0</v>
      </c>
      <c r="E1523">
        <v>0</v>
      </c>
      <c r="F1523">
        <v>0</v>
      </c>
      <c r="G1523">
        <v>767.01054999999997</v>
      </c>
      <c r="I1523">
        <f t="shared" si="92"/>
        <v>0.26340975432619773</v>
      </c>
      <c r="J1523">
        <f t="shared" si="93"/>
        <v>0</v>
      </c>
      <c r="K1523">
        <f t="shared" si="94"/>
        <v>0</v>
      </c>
      <c r="L1523">
        <f t="shared" si="95"/>
        <v>0</v>
      </c>
    </row>
    <row r="1524" spans="1:12" x14ac:dyDescent="0.35">
      <c r="A1524" s="1" t="s">
        <v>37</v>
      </c>
      <c r="B1524">
        <v>0.41782827500000003</v>
      </c>
      <c r="C1524">
        <v>4.1392E-3</v>
      </c>
      <c r="D1524">
        <v>0</v>
      </c>
      <c r="E1524">
        <v>0</v>
      </c>
      <c r="F1524">
        <v>0</v>
      </c>
      <c r="G1524">
        <v>767.42837999999995</v>
      </c>
      <c r="I1524">
        <f t="shared" si="92"/>
        <v>0.19826640470947862</v>
      </c>
      <c r="J1524">
        <f t="shared" si="93"/>
        <v>0</v>
      </c>
      <c r="K1524">
        <f t="shared" si="94"/>
        <v>0</v>
      </c>
      <c r="L1524">
        <f t="shared" si="95"/>
        <v>0</v>
      </c>
    </row>
    <row r="1525" spans="1:12" x14ac:dyDescent="0.35">
      <c r="A1525" s="1" t="s">
        <v>38</v>
      </c>
      <c r="B1525">
        <v>0.41782808399999999</v>
      </c>
      <c r="C1525">
        <v>3.2192000000000002E-3</v>
      </c>
      <c r="D1525">
        <v>0</v>
      </c>
      <c r="E1525">
        <v>0</v>
      </c>
      <c r="F1525">
        <v>0</v>
      </c>
      <c r="G1525">
        <v>767.84621000000004</v>
      </c>
      <c r="I1525">
        <f t="shared" si="92"/>
        <v>0.15419875865034546</v>
      </c>
      <c r="J1525">
        <f t="shared" si="93"/>
        <v>0</v>
      </c>
      <c r="K1525">
        <f t="shared" si="94"/>
        <v>0</v>
      </c>
      <c r="L1525">
        <f t="shared" si="95"/>
        <v>0</v>
      </c>
    </row>
    <row r="1526" spans="1:12" x14ac:dyDescent="0.35">
      <c r="A1526" s="1" t="s">
        <v>39</v>
      </c>
      <c r="B1526">
        <v>0.41782794400000001</v>
      </c>
      <c r="C1526">
        <v>2.3392E-3</v>
      </c>
      <c r="D1526">
        <v>0</v>
      </c>
      <c r="E1526">
        <v>0</v>
      </c>
      <c r="F1526">
        <v>0</v>
      </c>
      <c r="G1526">
        <v>768.26403000000005</v>
      </c>
      <c r="I1526">
        <f t="shared" si="92"/>
        <v>0.11204704805350077</v>
      </c>
      <c r="J1526">
        <f t="shared" si="93"/>
        <v>0</v>
      </c>
      <c r="K1526">
        <f t="shared" si="94"/>
        <v>0</v>
      </c>
      <c r="L1526">
        <f t="shared" si="95"/>
        <v>0</v>
      </c>
    </row>
    <row r="1527" spans="1:12" x14ac:dyDescent="0.35">
      <c r="A1527" s="1" t="s">
        <v>79</v>
      </c>
      <c r="B1527">
        <v>0.21199999999999999</v>
      </c>
      <c r="C1527">
        <v>0</v>
      </c>
      <c r="D1527">
        <v>-2.53358734</v>
      </c>
      <c r="E1527">
        <v>0</v>
      </c>
      <c r="F1527">
        <v>0</v>
      </c>
      <c r="G1527">
        <v>768.52302999999995</v>
      </c>
      <c r="I1527">
        <f t="shared" si="92"/>
        <v>0</v>
      </c>
      <c r="J1527">
        <f t="shared" si="93"/>
        <v>-50.706825936458621</v>
      </c>
      <c r="K1527">
        <f t="shared" si="94"/>
        <v>0</v>
      </c>
      <c r="L1527">
        <f t="shared" si="95"/>
        <v>0</v>
      </c>
    </row>
    <row r="1528" spans="1:12" x14ac:dyDescent="0.35">
      <c r="A1528" s="1" t="s">
        <v>80</v>
      </c>
      <c r="B1528">
        <v>0.16600000000000001</v>
      </c>
      <c r="C1528">
        <v>0</v>
      </c>
      <c r="D1528">
        <v>0</v>
      </c>
      <c r="E1528">
        <v>-202.23429300000001</v>
      </c>
      <c r="F1528">
        <v>0</v>
      </c>
      <c r="G1528">
        <v>768.76403000000005</v>
      </c>
      <c r="I1528">
        <f t="shared" si="92"/>
        <v>0</v>
      </c>
      <c r="J1528">
        <f t="shared" si="93"/>
        <v>0</v>
      </c>
      <c r="K1528">
        <f t="shared" si="94"/>
        <v>-4047.4859230760812</v>
      </c>
      <c r="L1528">
        <f t="shared" si="95"/>
        <v>0</v>
      </c>
    </row>
    <row r="1529" spans="1:12" x14ac:dyDescent="0.35">
      <c r="A1529" s="1" t="s">
        <v>81</v>
      </c>
      <c r="B1529">
        <v>0.09</v>
      </c>
      <c r="C1529">
        <v>0</v>
      </c>
      <c r="D1529">
        <v>0</v>
      </c>
      <c r="E1529">
        <v>0</v>
      </c>
      <c r="F1529">
        <v>-13632</v>
      </c>
      <c r="G1529">
        <v>769.30489</v>
      </c>
      <c r="I1529">
        <f t="shared" si="92"/>
        <v>0</v>
      </c>
      <c r="J1529">
        <f t="shared" si="93"/>
        <v>0</v>
      </c>
      <c r="K1529">
        <f t="shared" si="94"/>
        <v>0</v>
      </c>
      <c r="L1529">
        <f t="shared" si="95"/>
        <v>-272828.74375501258</v>
      </c>
    </row>
    <row r="1530" spans="1:12" x14ac:dyDescent="0.35">
      <c r="A1530" s="1" t="s">
        <v>82</v>
      </c>
      <c r="B1530">
        <v>0.21199999999999999</v>
      </c>
      <c r="C1530">
        <v>0</v>
      </c>
      <c r="D1530">
        <v>2.47240752</v>
      </c>
      <c r="E1530">
        <v>0</v>
      </c>
      <c r="F1530">
        <v>0</v>
      </c>
      <c r="G1530">
        <v>769.57689000000005</v>
      </c>
      <c r="I1530">
        <f t="shared" si="92"/>
        <v>0</v>
      </c>
      <c r="J1530">
        <f t="shared" si="93"/>
        <v>49.48238246273813</v>
      </c>
      <c r="K1530">
        <f t="shared" si="94"/>
        <v>0</v>
      </c>
      <c r="L1530">
        <f t="shared" si="95"/>
        <v>0</v>
      </c>
    </row>
    <row r="1531" spans="1:12" x14ac:dyDescent="0.35">
      <c r="A1531" s="1" t="s">
        <v>83</v>
      </c>
      <c r="B1531">
        <v>0.1</v>
      </c>
      <c r="C1531">
        <v>0</v>
      </c>
      <c r="D1531">
        <v>0</v>
      </c>
      <c r="E1531">
        <v>172.62799999999999</v>
      </c>
      <c r="F1531">
        <v>0</v>
      </c>
      <c r="G1531">
        <v>769.75189</v>
      </c>
      <c r="I1531">
        <f t="shared" si="92"/>
        <v>0</v>
      </c>
      <c r="J1531">
        <f t="shared" si="93"/>
        <v>0</v>
      </c>
      <c r="K1531">
        <f t="shared" si="94"/>
        <v>3454.9501450220296</v>
      </c>
      <c r="L1531">
        <f t="shared" si="95"/>
        <v>0</v>
      </c>
    </row>
    <row r="1532" spans="1:12" x14ac:dyDescent="0.35">
      <c r="A1532" s="1" t="s">
        <v>83</v>
      </c>
      <c r="B1532">
        <v>0.1</v>
      </c>
      <c r="C1532">
        <v>0</v>
      </c>
      <c r="D1532">
        <v>0</v>
      </c>
      <c r="E1532">
        <v>172.62799999999999</v>
      </c>
      <c r="F1532">
        <v>0</v>
      </c>
      <c r="G1532">
        <f>0.1+769.75189</f>
        <v>769.85189000000003</v>
      </c>
      <c r="I1532">
        <f t="shared" si="92"/>
        <v>0</v>
      </c>
      <c r="J1532">
        <f t="shared" si="93"/>
        <v>0</v>
      </c>
      <c r="K1532">
        <f t="shared" si="94"/>
        <v>3454.9501450220296</v>
      </c>
      <c r="L1532">
        <f t="shared" si="95"/>
        <v>0</v>
      </c>
    </row>
    <row r="1533" spans="1:12" x14ac:dyDescent="0.35">
      <c r="A1533" s="1" t="s">
        <v>84</v>
      </c>
      <c r="B1533">
        <v>0.21199999999999999</v>
      </c>
      <c r="C1533">
        <v>0</v>
      </c>
      <c r="D1533">
        <v>2.47240752</v>
      </c>
      <c r="E1533">
        <v>0</v>
      </c>
      <c r="F1533">
        <v>0</v>
      </c>
      <c r="G1533">
        <v>770.13888999999995</v>
      </c>
      <c r="I1533">
        <f t="shared" si="92"/>
        <v>0</v>
      </c>
      <c r="J1533">
        <f t="shared" si="93"/>
        <v>49.48238246273813</v>
      </c>
      <c r="K1533">
        <f t="shared" si="94"/>
        <v>0</v>
      </c>
      <c r="L1533">
        <f t="shared" si="95"/>
        <v>0</v>
      </c>
    </row>
    <row r="1534" spans="1:12" x14ac:dyDescent="0.35">
      <c r="A1534" s="1" t="s">
        <v>85</v>
      </c>
      <c r="B1534">
        <v>0.16600000000000001</v>
      </c>
      <c r="C1534">
        <v>0</v>
      </c>
      <c r="D1534">
        <v>0</v>
      </c>
      <c r="E1534">
        <v>-132.861086</v>
      </c>
      <c r="F1534">
        <v>0</v>
      </c>
      <c r="G1534">
        <v>770.90574000000004</v>
      </c>
      <c r="I1534">
        <f t="shared" si="92"/>
        <v>0</v>
      </c>
      <c r="J1534">
        <f t="shared" si="93"/>
        <v>0</v>
      </c>
      <c r="K1534">
        <f t="shared" si="94"/>
        <v>-2659.0612666744933</v>
      </c>
      <c r="L1534">
        <f t="shared" si="95"/>
        <v>0</v>
      </c>
    </row>
    <row r="1535" spans="1:12" x14ac:dyDescent="0.35">
      <c r="A1535" s="1" t="s">
        <v>86</v>
      </c>
      <c r="B1535">
        <v>0.21199999999999999</v>
      </c>
      <c r="C1535">
        <v>0</v>
      </c>
      <c r="D1535">
        <v>-2.3709669899999999</v>
      </c>
      <c r="E1535">
        <v>0</v>
      </c>
      <c r="F1535">
        <v>0</v>
      </c>
      <c r="G1535">
        <v>771.19273999999996</v>
      </c>
      <c r="I1535">
        <f t="shared" si="92"/>
        <v>0</v>
      </c>
      <c r="J1535">
        <f t="shared" si="93"/>
        <v>-47.452167353748784</v>
      </c>
      <c r="K1535">
        <f t="shared" si="94"/>
        <v>0</v>
      </c>
      <c r="L1535">
        <f t="shared" si="95"/>
        <v>0</v>
      </c>
    </row>
    <row r="1536" spans="1:12" x14ac:dyDescent="0.35">
      <c r="A1536" s="1" t="s">
        <v>48</v>
      </c>
      <c r="B1536">
        <v>0.41782794400000001</v>
      </c>
      <c r="C1536">
        <v>2.3392E-3</v>
      </c>
      <c r="D1536">
        <v>0</v>
      </c>
      <c r="E1536">
        <v>0</v>
      </c>
      <c r="F1536">
        <v>0</v>
      </c>
      <c r="G1536">
        <v>771.65756999999996</v>
      </c>
      <c r="I1536">
        <f t="shared" si="92"/>
        <v>0.11204704805350077</v>
      </c>
      <c r="J1536">
        <f t="shared" si="93"/>
        <v>0</v>
      </c>
      <c r="K1536">
        <f t="shared" si="94"/>
        <v>0</v>
      </c>
      <c r="L1536">
        <f t="shared" si="95"/>
        <v>0</v>
      </c>
    </row>
    <row r="1537" spans="1:12" x14ac:dyDescent="0.35">
      <c r="A1537" s="1" t="s">
        <v>49</v>
      </c>
      <c r="B1537">
        <v>0.41782808399999999</v>
      </c>
      <c r="C1537">
        <v>3.2192000000000002E-3</v>
      </c>
      <c r="D1537">
        <v>0</v>
      </c>
      <c r="E1537">
        <v>0</v>
      </c>
      <c r="F1537">
        <v>0</v>
      </c>
      <c r="G1537">
        <v>772.07539999999995</v>
      </c>
      <c r="I1537">
        <f t="shared" si="92"/>
        <v>0.15419875865034546</v>
      </c>
      <c r="J1537">
        <f t="shared" si="93"/>
        <v>0</v>
      </c>
      <c r="K1537">
        <f t="shared" si="94"/>
        <v>0</v>
      </c>
      <c r="L1537">
        <f t="shared" si="95"/>
        <v>0</v>
      </c>
    </row>
    <row r="1538" spans="1:12" x14ac:dyDescent="0.35">
      <c r="A1538" s="1" t="s">
        <v>50</v>
      </c>
      <c r="B1538">
        <v>0.41782827500000003</v>
      </c>
      <c r="C1538">
        <v>4.1392E-3</v>
      </c>
      <c r="D1538">
        <v>0</v>
      </c>
      <c r="E1538">
        <v>0</v>
      </c>
      <c r="F1538">
        <v>0</v>
      </c>
      <c r="G1538">
        <v>772.49323000000004</v>
      </c>
      <c r="I1538">
        <f t="shared" si="92"/>
        <v>0.19826640470947862</v>
      </c>
      <c r="J1538">
        <f t="shared" si="93"/>
        <v>0</v>
      </c>
      <c r="K1538">
        <f t="shared" si="94"/>
        <v>0</v>
      </c>
      <c r="L1538">
        <f t="shared" si="95"/>
        <v>0</v>
      </c>
    </row>
    <row r="1539" spans="1:12" x14ac:dyDescent="0.35">
      <c r="A1539" s="1" t="s">
        <v>51</v>
      </c>
      <c r="B1539">
        <v>0.41782864199999997</v>
      </c>
      <c r="C1539">
        <v>5.4992000000000001E-3</v>
      </c>
      <c r="D1539">
        <v>0</v>
      </c>
      <c r="E1539">
        <v>0</v>
      </c>
      <c r="F1539">
        <v>0</v>
      </c>
      <c r="G1539">
        <v>772.91105000000005</v>
      </c>
      <c r="I1539">
        <f t="shared" si="92"/>
        <v>0.26340975432619773</v>
      </c>
      <c r="J1539">
        <f t="shared" si="93"/>
        <v>0</v>
      </c>
      <c r="K1539">
        <f t="shared" si="94"/>
        <v>0</v>
      </c>
      <c r="L1539">
        <f t="shared" si="95"/>
        <v>0</v>
      </c>
    </row>
    <row r="1540" spans="1:12" x14ac:dyDescent="0.35">
      <c r="A1540" s="1" t="s">
        <v>52</v>
      </c>
      <c r="B1540">
        <v>0.41783028900000002</v>
      </c>
      <c r="C1540">
        <v>9.4690999999999994E-3</v>
      </c>
      <c r="D1540">
        <v>0</v>
      </c>
      <c r="E1540">
        <v>0</v>
      </c>
      <c r="F1540">
        <v>0</v>
      </c>
      <c r="G1540">
        <v>773.32888000000003</v>
      </c>
      <c r="I1540">
        <f t="shared" ref="I1540:I1603" si="96">$H$2*$C1540/$B1540</f>
        <v>0.45356478630764774</v>
      </c>
      <c r="J1540">
        <f t="shared" ref="J1540:J1603" si="97">$H$2*$D1540</f>
        <v>0</v>
      </c>
      <c r="K1540">
        <f t="shared" ref="K1540:K1603" si="98">$H$2*$E1540</f>
        <v>0</v>
      </c>
      <c r="L1540">
        <f t="shared" ref="L1540:L1603" si="99">$H$2*$F1540</f>
        <v>0</v>
      </c>
    </row>
    <row r="1541" spans="1:12" x14ac:dyDescent="0.35">
      <c r="A1541" s="1" t="s">
        <v>87</v>
      </c>
      <c r="B1541">
        <v>0.16200000000000001</v>
      </c>
      <c r="C1541">
        <v>0</v>
      </c>
      <c r="D1541">
        <v>-2.8698264299999998</v>
      </c>
      <c r="E1541">
        <v>0</v>
      </c>
      <c r="F1541">
        <v>0</v>
      </c>
      <c r="G1541">
        <v>773.53787999999997</v>
      </c>
      <c r="I1541">
        <f t="shared" si="96"/>
        <v>0</v>
      </c>
      <c r="J1541">
        <f t="shared" si="97"/>
        <v>-57.436263181619168</v>
      </c>
      <c r="K1541">
        <f t="shared" si="98"/>
        <v>0</v>
      </c>
      <c r="L1541">
        <f t="shared" si="99"/>
        <v>0</v>
      </c>
    </row>
    <row r="1542" spans="1:12" x14ac:dyDescent="0.35">
      <c r="A1542" s="1" t="s">
        <v>54</v>
      </c>
      <c r="B1542">
        <v>0.1</v>
      </c>
      <c r="C1542">
        <v>0</v>
      </c>
      <c r="D1542">
        <v>0</v>
      </c>
      <c r="E1542">
        <v>0</v>
      </c>
      <c r="F1542">
        <v>0</v>
      </c>
      <c r="G1542">
        <v>773.86788000000001</v>
      </c>
      <c r="I1542">
        <f t="shared" si="96"/>
        <v>0</v>
      </c>
      <c r="J1542">
        <f t="shared" si="97"/>
        <v>0</v>
      </c>
      <c r="K1542">
        <f t="shared" si="98"/>
        <v>0</v>
      </c>
      <c r="L1542">
        <f t="shared" si="99"/>
        <v>0</v>
      </c>
    </row>
    <row r="1543" spans="1:12" x14ac:dyDescent="0.35">
      <c r="A1543" s="1" t="s">
        <v>88</v>
      </c>
      <c r="B1543">
        <v>0.29499999999999998</v>
      </c>
      <c r="C1543">
        <v>0</v>
      </c>
      <c r="D1543">
        <v>2.43875777</v>
      </c>
      <c r="E1543">
        <v>0</v>
      </c>
      <c r="F1543">
        <v>0</v>
      </c>
      <c r="G1543">
        <v>774.27287999999999</v>
      </c>
      <c r="I1543">
        <f t="shared" si="96"/>
        <v>0</v>
      </c>
      <c r="J1543">
        <f t="shared" si="97"/>
        <v>48.808921560436907</v>
      </c>
      <c r="K1543">
        <f t="shared" si="98"/>
        <v>0</v>
      </c>
      <c r="L1543">
        <f t="shared" si="99"/>
        <v>0</v>
      </c>
    </row>
    <row r="1544" spans="1:12" x14ac:dyDescent="0.35">
      <c r="A1544" s="1" t="s">
        <v>56</v>
      </c>
      <c r="B1544">
        <v>0.29499999999999998</v>
      </c>
      <c r="C1544">
        <v>0</v>
      </c>
      <c r="D1544">
        <v>2.43875777</v>
      </c>
      <c r="E1544">
        <v>0</v>
      </c>
      <c r="F1544">
        <v>0</v>
      </c>
      <c r="G1544">
        <v>780.14603999999997</v>
      </c>
      <c r="I1544">
        <f t="shared" si="96"/>
        <v>0</v>
      </c>
      <c r="J1544">
        <f t="shared" si="97"/>
        <v>48.808921560436907</v>
      </c>
      <c r="K1544">
        <f t="shared" si="98"/>
        <v>0</v>
      </c>
      <c r="L1544">
        <f t="shared" si="99"/>
        <v>0</v>
      </c>
    </row>
    <row r="1545" spans="1:12" x14ac:dyDescent="0.35">
      <c r="A1545" s="1" t="s">
        <v>2</v>
      </c>
      <c r="B1545">
        <v>0.1</v>
      </c>
      <c r="C1545">
        <v>0</v>
      </c>
      <c r="D1545">
        <v>0</v>
      </c>
      <c r="E1545">
        <v>0</v>
      </c>
      <c r="F1545">
        <v>0</v>
      </c>
      <c r="G1545">
        <v>780.35604000000001</v>
      </c>
      <c r="I1545">
        <f t="shared" si="96"/>
        <v>0</v>
      </c>
      <c r="J1545">
        <f t="shared" si="97"/>
        <v>0</v>
      </c>
      <c r="K1545">
        <f t="shared" si="98"/>
        <v>0</v>
      </c>
      <c r="L1545">
        <f t="shared" si="99"/>
        <v>0</v>
      </c>
    </row>
    <row r="1546" spans="1:12" x14ac:dyDescent="0.35">
      <c r="A1546" s="1" t="s">
        <v>57</v>
      </c>
      <c r="B1546">
        <v>0.16200000000000001</v>
      </c>
      <c r="C1546">
        <v>0</v>
      </c>
      <c r="D1546">
        <v>-2.8698264299999998</v>
      </c>
      <c r="E1546">
        <v>0</v>
      </c>
      <c r="F1546">
        <v>0</v>
      </c>
      <c r="G1546">
        <v>780.74803999999995</v>
      </c>
      <c r="I1546">
        <f t="shared" si="96"/>
        <v>0</v>
      </c>
      <c r="J1546">
        <f t="shared" si="97"/>
        <v>-57.436263181619168</v>
      </c>
      <c r="K1546">
        <f t="shared" si="98"/>
        <v>0</v>
      </c>
      <c r="L1546">
        <f t="shared" si="99"/>
        <v>0</v>
      </c>
    </row>
    <row r="1547" spans="1:12" x14ac:dyDescent="0.35">
      <c r="A1547" s="1" t="s">
        <v>58</v>
      </c>
      <c r="B1547">
        <v>0.41783028900000002</v>
      </c>
      <c r="C1547">
        <v>9.4690999999999994E-3</v>
      </c>
      <c r="D1547">
        <v>0</v>
      </c>
      <c r="E1547">
        <v>0</v>
      </c>
      <c r="F1547">
        <v>0</v>
      </c>
      <c r="G1547">
        <v>781.21286999999995</v>
      </c>
      <c r="I1547">
        <f t="shared" si="96"/>
        <v>0.45356478630764774</v>
      </c>
      <c r="J1547">
        <f t="shared" si="97"/>
        <v>0</v>
      </c>
      <c r="K1547">
        <f t="shared" si="98"/>
        <v>0</v>
      </c>
      <c r="L1547">
        <f t="shared" si="99"/>
        <v>0</v>
      </c>
    </row>
    <row r="1548" spans="1:12" x14ac:dyDescent="0.35">
      <c r="A1548" s="1" t="s">
        <v>59</v>
      </c>
      <c r="B1548">
        <v>0.41782864199999997</v>
      </c>
      <c r="C1548">
        <v>5.4992000000000001E-3</v>
      </c>
      <c r="D1548">
        <v>0</v>
      </c>
      <c r="E1548">
        <v>0</v>
      </c>
      <c r="F1548">
        <v>0</v>
      </c>
      <c r="G1548">
        <v>781.63070000000005</v>
      </c>
      <c r="I1548">
        <f t="shared" si="96"/>
        <v>0.26340975432619773</v>
      </c>
      <c r="J1548">
        <f t="shared" si="97"/>
        <v>0</v>
      </c>
      <c r="K1548">
        <f t="shared" si="98"/>
        <v>0</v>
      </c>
      <c r="L1548">
        <f t="shared" si="99"/>
        <v>0</v>
      </c>
    </row>
    <row r="1549" spans="1:12" x14ac:dyDescent="0.35">
      <c r="A1549" s="1" t="s">
        <v>60</v>
      </c>
      <c r="B1549">
        <v>0.41782827500000003</v>
      </c>
      <c r="C1549">
        <v>4.1392E-3</v>
      </c>
      <c r="D1549">
        <v>0</v>
      </c>
      <c r="E1549">
        <v>0</v>
      </c>
      <c r="F1549">
        <v>0</v>
      </c>
      <c r="G1549">
        <v>782.04852000000005</v>
      </c>
      <c r="I1549">
        <f t="shared" si="96"/>
        <v>0.19826640470947862</v>
      </c>
      <c r="J1549">
        <f t="shared" si="97"/>
        <v>0</v>
      </c>
      <c r="K1549">
        <f t="shared" si="98"/>
        <v>0</v>
      </c>
      <c r="L1549">
        <f t="shared" si="99"/>
        <v>0</v>
      </c>
    </row>
    <row r="1550" spans="1:12" x14ac:dyDescent="0.35">
      <c r="A1550" s="1" t="s">
        <v>61</v>
      </c>
      <c r="B1550">
        <v>0.41782808399999999</v>
      </c>
      <c r="C1550">
        <v>3.2192000000000002E-3</v>
      </c>
      <c r="D1550">
        <v>0</v>
      </c>
      <c r="E1550">
        <v>0</v>
      </c>
      <c r="F1550">
        <v>0</v>
      </c>
      <c r="G1550">
        <v>782.46635000000003</v>
      </c>
      <c r="I1550">
        <f t="shared" si="96"/>
        <v>0.15419875865034546</v>
      </c>
      <c r="J1550">
        <f t="shared" si="97"/>
        <v>0</v>
      </c>
      <c r="K1550">
        <f t="shared" si="98"/>
        <v>0</v>
      </c>
      <c r="L1550">
        <f t="shared" si="99"/>
        <v>0</v>
      </c>
    </row>
    <row r="1551" spans="1:12" x14ac:dyDescent="0.35">
      <c r="A1551" s="1" t="s">
        <v>62</v>
      </c>
      <c r="B1551">
        <v>0.41782794400000001</v>
      </c>
      <c r="C1551">
        <v>2.3392E-3</v>
      </c>
      <c r="D1551">
        <v>0</v>
      </c>
      <c r="E1551">
        <v>0</v>
      </c>
      <c r="F1551">
        <v>0</v>
      </c>
      <c r="G1551">
        <v>782.88418000000001</v>
      </c>
      <c r="I1551">
        <f t="shared" si="96"/>
        <v>0.11204704805350077</v>
      </c>
      <c r="J1551">
        <f t="shared" si="97"/>
        <v>0</v>
      </c>
      <c r="K1551">
        <f t="shared" si="98"/>
        <v>0</v>
      </c>
      <c r="L1551">
        <f t="shared" si="99"/>
        <v>0</v>
      </c>
    </row>
    <row r="1552" spans="1:12" x14ac:dyDescent="0.35">
      <c r="A1552" s="1" t="s">
        <v>63</v>
      </c>
      <c r="B1552">
        <v>0.21199999999999999</v>
      </c>
      <c r="C1552">
        <v>0</v>
      </c>
      <c r="D1552">
        <v>-2.3709669899999999</v>
      </c>
      <c r="E1552">
        <v>0</v>
      </c>
      <c r="F1552">
        <v>0</v>
      </c>
      <c r="G1552">
        <v>783.14318000000003</v>
      </c>
      <c r="I1552">
        <f t="shared" si="96"/>
        <v>0</v>
      </c>
      <c r="J1552">
        <f t="shared" si="97"/>
        <v>-47.452167353748784</v>
      </c>
      <c r="K1552">
        <f t="shared" si="98"/>
        <v>0</v>
      </c>
      <c r="L1552">
        <f t="shared" si="99"/>
        <v>0</v>
      </c>
    </row>
    <row r="1553" spans="1:12" x14ac:dyDescent="0.35">
      <c r="A1553" s="1" t="s">
        <v>64</v>
      </c>
      <c r="B1553">
        <v>0.16600000000000001</v>
      </c>
      <c r="C1553">
        <v>0</v>
      </c>
      <c r="D1553">
        <v>0</v>
      </c>
      <c r="E1553">
        <v>-132.861086</v>
      </c>
      <c r="F1553">
        <v>0</v>
      </c>
      <c r="G1553">
        <v>783.38418000000001</v>
      </c>
      <c r="I1553">
        <f t="shared" si="96"/>
        <v>0</v>
      </c>
      <c r="J1553">
        <f t="shared" si="97"/>
        <v>0</v>
      </c>
      <c r="K1553">
        <f t="shared" si="98"/>
        <v>-2659.0612666744933</v>
      </c>
      <c r="L1553">
        <f t="shared" si="99"/>
        <v>0</v>
      </c>
    </row>
    <row r="1554" spans="1:12" x14ac:dyDescent="0.35">
      <c r="A1554" s="1" t="s">
        <v>65</v>
      </c>
      <c r="B1554">
        <v>0.21199999999999999</v>
      </c>
      <c r="C1554">
        <v>0</v>
      </c>
      <c r="D1554">
        <v>2.47240752</v>
      </c>
      <c r="E1554">
        <v>0</v>
      </c>
      <c r="F1554">
        <v>0</v>
      </c>
      <c r="G1554">
        <v>784.19703000000004</v>
      </c>
      <c r="I1554">
        <f t="shared" si="96"/>
        <v>0</v>
      </c>
      <c r="J1554">
        <f t="shared" si="97"/>
        <v>49.48238246273813</v>
      </c>
      <c r="K1554">
        <f t="shared" si="98"/>
        <v>0</v>
      </c>
      <c r="L1554">
        <f t="shared" si="99"/>
        <v>0</v>
      </c>
    </row>
    <row r="1555" spans="1:12" x14ac:dyDescent="0.35">
      <c r="A1555" s="1" t="s">
        <v>66</v>
      </c>
      <c r="B1555">
        <v>0.1</v>
      </c>
      <c r="C1555">
        <v>0</v>
      </c>
      <c r="D1555">
        <v>0</v>
      </c>
      <c r="E1555">
        <v>172.62799999999999</v>
      </c>
      <c r="F1555">
        <v>0</v>
      </c>
      <c r="G1555">
        <v>784.37203</v>
      </c>
      <c r="I1555">
        <f t="shared" si="96"/>
        <v>0</v>
      </c>
      <c r="J1555">
        <f t="shared" si="97"/>
        <v>0</v>
      </c>
      <c r="K1555">
        <f t="shared" si="98"/>
        <v>3454.9501450220296</v>
      </c>
      <c r="L1555">
        <f t="shared" si="99"/>
        <v>0</v>
      </c>
    </row>
    <row r="1556" spans="1:12" x14ac:dyDescent="0.35">
      <c r="A1556" s="1" t="s">
        <v>66</v>
      </c>
      <c r="B1556">
        <v>0.1</v>
      </c>
      <c r="C1556">
        <v>0</v>
      </c>
      <c r="D1556">
        <v>0</v>
      </c>
      <c r="E1556">
        <v>172.62799999999999</v>
      </c>
      <c r="F1556">
        <v>0</v>
      </c>
      <c r="G1556">
        <f>784.37203+0.1</f>
        <v>784.47203000000002</v>
      </c>
      <c r="I1556">
        <f t="shared" si="96"/>
        <v>0</v>
      </c>
      <c r="J1556">
        <f t="shared" si="97"/>
        <v>0</v>
      </c>
      <c r="K1556">
        <f t="shared" si="98"/>
        <v>3454.9501450220296</v>
      </c>
      <c r="L1556">
        <f t="shared" si="99"/>
        <v>0</v>
      </c>
    </row>
    <row r="1557" spans="1:12" x14ac:dyDescent="0.35">
      <c r="A1557" s="1" t="s">
        <v>67</v>
      </c>
      <c r="B1557">
        <v>0.21199999999999999</v>
      </c>
      <c r="C1557">
        <v>0</v>
      </c>
      <c r="D1557">
        <v>2.47240752</v>
      </c>
      <c r="E1557">
        <v>0</v>
      </c>
      <c r="F1557">
        <v>0</v>
      </c>
      <c r="G1557">
        <v>784.75903000000005</v>
      </c>
      <c r="I1557">
        <f t="shared" si="96"/>
        <v>0</v>
      </c>
      <c r="J1557">
        <f t="shared" si="97"/>
        <v>49.48238246273813</v>
      </c>
      <c r="K1557">
        <f t="shared" si="98"/>
        <v>0</v>
      </c>
      <c r="L1557">
        <f t="shared" si="99"/>
        <v>0</v>
      </c>
    </row>
    <row r="1558" spans="1:12" x14ac:dyDescent="0.35">
      <c r="A1558" s="1" t="s">
        <v>68</v>
      </c>
      <c r="B1558">
        <v>0.09</v>
      </c>
      <c r="C1558">
        <v>0</v>
      </c>
      <c r="D1558">
        <v>0</v>
      </c>
      <c r="E1558">
        <v>0</v>
      </c>
      <c r="F1558">
        <v>-13632</v>
      </c>
      <c r="G1558">
        <v>784.90903000000003</v>
      </c>
      <c r="I1558">
        <f t="shared" si="96"/>
        <v>0</v>
      </c>
      <c r="J1558">
        <f t="shared" si="97"/>
        <v>0</v>
      </c>
      <c r="K1558">
        <f t="shared" si="98"/>
        <v>0</v>
      </c>
      <c r="L1558">
        <f t="shared" si="99"/>
        <v>-272828.74375501258</v>
      </c>
    </row>
    <row r="1559" spans="1:12" x14ac:dyDescent="0.35">
      <c r="A1559" s="1" t="s">
        <v>69</v>
      </c>
      <c r="B1559">
        <v>0.16600000000000001</v>
      </c>
      <c r="C1559">
        <v>0</v>
      </c>
      <c r="D1559">
        <v>0</v>
      </c>
      <c r="E1559">
        <v>-202.23429300000001</v>
      </c>
      <c r="F1559">
        <v>0</v>
      </c>
      <c r="G1559">
        <v>785.52589</v>
      </c>
      <c r="I1559">
        <f t="shared" si="96"/>
        <v>0</v>
      </c>
      <c r="J1559">
        <f t="shared" si="97"/>
        <v>0</v>
      </c>
      <c r="K1559">
        <f t="shared" si="98"/>
        <v>-4047.4859230760812</v>
      </c>
      <c r="L1559">
        <f t="shared" si="99"/>
        <v>0</v>
      </c>
    </row>
    <row r="1560" spans="1:12" x14ac:dyDescent="0.35">
      <c r="A1560" s="1" t="s">
        <v>70</v>
      </c>
      <c r="B1560">
        <v>0.21199999999999999</v>
      </c>
      <c r="C1560">
        <v>0</v>
      </c>
      <c r="D1560">
        <v>-2.53358734</v>
      </c>
      <c r="E1560">
        <v>0</v>
      </c>
      <c r="F1560">
        <v>0</v>
      </c>
      <c r="G1560">
        <v>785.81289000000004</v>
      </c>
      <c r="I1560">
        <f t="shared" si="96"/>
        <v>0</v>
      </c>
      <c r="J1560">
        <f t="shared" si="97"/>
        <v>-50.706825936458621</v>
      </c>
      <c r="K1560">
        <f t="shared" si="98"/>
        <v>0</v>
      </c>
      <c r="L1560">
        <f t="shared" si="99"/>
        <v>0</v>
      </c>
    </row>
    <row r="1561" spans="1:12" x14ac:dyDescent="0.35">
      <c r="A1561" s="1" t="s">
        <v>20</v>
      </c>
      <c r="B1561">
        <v>0.41782794400000001</v>
      </c>
      <c r="C1561">
        <v>2.3392E-3</v>
      </c>
      <c r="D1561">
        <v>0</v>
      </c>
      <c r="E1561">
        <v>0</v>
      </c>
      <c r="F1561">
        <v>0</v>
      </c>
      <c r="G1561">
        <v>786.27772000000004</v>
      </c>
      <c r="I1561">
        <f t="shared" si="96"/>
        <v>0.11204704805350077</v>
      </c>
      <c r="J1561">
        <f t="shared" si="97"/>
        <v>0</v>
      </c>
      <c r="K1561">
        <f t="shared" si="98"/>
        <v>0</v>
      </c>
      <c r="L1561">
        <f t="shared" si="99"/>
        <v>0</v>
      </c>
    </row>
    <row r="1562" spans="1:12" x14ac:dyDescent="0.35">
      <c r="A1562" s="1" t="s">
        <v>21</v>
      </c>
      <c r="B1562">
        <v>0.41782808399999999</v>
      </c>
      <c r="C1562">
        <v>3.2192000000000002E-3</v>
      </c>
      <c r="D1562">
        <v>0</v>
      </c>
      <c r="E1562">
        <v>0</v>
      </c>
      <c r="F1562">
        <v>0</v>
      </c>
      <c r="G1562">
        <v>786.69554000000005</v>
      </c>
      <c r="I1562">
        <f t="shared" si="96"/>
        <v>0.15419875865034546</v>
      </c>
      <c r="J1562">
        <f t="shared" si="97"/>
        <v>0</v>
      </c>
      <c r="K1562">
        <f t="shared" si="98"/>
        <v>0</v>
      </c>
      <c r="L1562">
        <f t="shared" si="99"/>
        <v>0</v>
      </c>
    </row>
    <row r="1563" spans="1:12" x14ac:dyDescent="0.35">
      <c r="A1563" s="1" t="s">
        <v>22</v>
      </c>
      <c r="B1563">
        <v>0.41782827500000003</v>
      </c>
      <c r="C1563">
        <v>4.1392E-3</v>
      </c>
      <c r="D1563">
        <v>0</v>
      </c>
      <c r="E1563">
        <v>0</v>
      </c>
      <c r="F1563">
        <v>0</v>
      </c>
      <c r="G1563">
        <v>787.11337000000003</v>
      </c>
      <c r="I1563">
        <f t="shared" si="96"/>
        <v>0.19826640470947862</v>
      </c>
      <c r="J1563">
        <f t="shared" si="97"/>
        <v>0</v>
      </c>
      <c r="K1563">
        <f t="shared" si="98"/>
        <v>0</v>
      </c>
      <c r="L1563">
        <f t="shared" si="99"/>
        <v>0</v>
      </c>
    </row>
    <row r="1564" spans="1:12" x14ac:dyDescent="0.35">
      <c r="A1564" s="1" t="s">
        <v>23</v>
      </c>
      <c r="B1564">
        <v>0.41782864199999997</v>
      </c>
      <c r="C1564">
        <v>5.4992000000000001E-3</v>
      </c>
      <c r="D1564">
        <v>0</v>
      </c>
      <c r="E1564">
        <v>0</v>
      </c>
      <c r="F1564">
        <v>0</v>
      </c>
      <c r="G1564">
        <v>787.53120000000001</v>
      </c>
      <c r="I1564">
        <f t="shared" si="96"/>
        <v>0.26340975432619773</v>
      </c>
      <c r="J1564">
        <f t="shared" si="97"/>
        <v>0</v>
      </c>
      <c r="K1564">
        <f t="shared" si="98"/>
        <v>0</v>
      </c>
      <c r="L1564">
        <f t="shared" si="99"/>
        <v>0</v>
      </c>
    </row>
    <row r="1565" spans="1:12" x14ac:dyDescent="0.35">
      <c r="A1565" s="1" t="s">
        <v>24</v>
      </c>
      <c r="B1565">
        <v>0.41782941899999998</v>
      </c>
      <c r="C1565">
        <v>7.6290999999999998E-3</v>
      </c>
      <c r="D1565">
        <v>0</v>
      </c>
      <c r="E1565">
        <v>0</v>
      </c>
      <c r="F1565">
        <v>0</v>
      </c>
      <c r="G1565">
        <v>787.94902999999999</v>
      </c>
      <c r="I1565">
        <f t="shared" si="96"/>
        <v>0.36543053893202671</v>
      </c>
      <c r="J1565">
        <f t="shared" si="97"/>
        <v>0</v>
      </c>
      <c r="K1565">
        <f t="shared" si="98"/>
        <v>0</v>
      </c>
      <c r="L1565">
        <f t="shared" si="99"/>
        <v>0</v>
      </c>
    </row>
    <row r="1566" spans="1:12" x14ac:dyDescent="0.35">
      <c r="A1566" s="1" t="s">
        <v>71</v>
      </c>
      <c r="B1566">
        <v>0.3745</v>
      </c>
      <c r="C1566">
        <v>0</v>
      </c>
      <c r="D1566">
        <v>4.5116622</v>
      </c>
      <c r="E1566">
        <v>0</v>
      </c>
      <c r="F1566">
        <v>0</v>
      </c>
      <c r="G1566">
        <v>788.47352999999998</v>
      </c>
      <c r="I1566">
        <f t="shared" si="96"/>
        <v>0</v>
      </c>
      <c r="J1566">
        <f t="shared" si="97"/>
        <v>90.29571084748946</v>
      </c>
      <c r="K1566">
        <f t="shared" si="98"/>
        <v>0</v>
      </c>
      <c r="L1566">
        <f t="shared" si="99"/>
        <v>0</v>
      </c>
    </row>
    <row r="1567" spans="1:12" x14ac:dyDescent="0.35">
      <c r="A1567" s="1" t="s">
        <v>72</v>
      </c>
      <c r="B1567">
        <v>1.0280365199999999</v>
      </c>
      <c r="C1567">
        <v>2.4767999999999998E-2</v>
      </c>
      <c r="D1567">
        <v>-1.929</v>
      </c>
      <c r="E1567">
        <v>0</v>
      </c>
      <c r="F1567">
        <v>0</v>
      </c>
      <c r="G1567">
        <v>789.59157000000005</v>
      </c>
      <c r="I1567">
        <f t="shared" si="96"/>
        <v>0.48218416286837618</v>
      </c>
      <c r="J1567">
        <f t="shared" si="97"/>
        <v>-38.606708238220314</v>
      </c>
      <c r="K1567">
        <f t="shared" si="98"/>
        <v>0</v>
      </c>
      <c r="L1567">
        <f t="shared" si="99"/>
        <v>0</v>
      </c>
    </row>
    <row r="1568" spans="1:12" x14ac:dyDescent="0.35">
      <c r="A1568" s="1" t="s">
        <v>73</v>
      </c>
      <c r="B1568">
        <v>0.4975</v>
      </c>
      <c r="C1568">
        <v>0</v>
      </c>
      <c r="D1568">
        <v>4.61414189</v>
      </c>
      <c r="E1568">
        <v>0</v>
      </c>
      <c r="F1568">
        <v>0</v>
      </c>
      <c r="G1568">
        <v>790.17907000000002</v>
      </c>
      <c r="I1568">
        <f t="shared" si="96"/>
        <v>0</v>
      </c>
      <c r="J1568">
        <f t="shared" si="97"/>
        <v>92.346723544313335</v>
      </c>
      <c r="K1568">
        <f t="shared" si="98"/>
        <v>0</v>
      </c>
      <c r="L1568">
        <f t="shared" si="99"/>
        <v>0</v>
      </c>
    </row>
    <row r="1569" spans="1:12" x14ac:dyDescent="0.35">
      <c r="A1569" s="1" t="s">
        <v>28</v>
      </c>
      <c r="B1569">
        <v>0.1</v>
      </c>
      <c r="C1569">
        <v>0</v>
      </c>
      <c r="D1569">
        <v>0</v>
      </c>
      <c r="E1569">
        <v>0</v>
      </c>
      <c r="F1569">
        <v>0</v>
      </c>
      <c r="G1569">
        <v>790.35014000000001</v>
      </c>
      <c r="I1569">
        <f t="shared" si="96"/>
        <v>0</v>
      </c>
      <c r="J1569">
        <f t="shared" si="97"/>
        <v>0</v>
      </c>
      <c r="K1569">
        <f t="shared" si="98"/>
        <v>0</v>
      </c>
      <c r="L1569">
        <f t="shared" si="99"/>
        <v>0</v>
      </c>
    </row>
    <row r="1570" spans="1:12" x14ac:dyDescent="0.35">
      <c r="A1570" s="1" t="s">
        <v>74</v>
      </c>
      <c r="B1570">
        <v>0.40000102700000001</v>
      </c>
      <c r="C1570">
        <v>5.2300999999999997E-3</v>
      </c>
      <c r="D1570">
        <v>-1.5815999999999999</v>
      </c>
      <c r="E1570">
        <v>0</v>
      </c>
      <c r="F1570">
        <v>0</v>
      </c>
      <c r="G1570">
        <v>790.84313999999995</v>
      </c>
      <c r="I1570">
        <f t="shared" si="96"/>
        <v>0.26168536331815889</v>
      </c>
      <c r="J1570">
        <f t="shared" si="97"/>
        <v>-31.653898263125576</v>
      </c>
      <c r="K1570">
        <f t="shared" si="98"/>
        <v>0</v>
      </c>
      <c r="L1570">
        <f t="shared" si="99"/>
        <v>0</v>
      </c>
    </row>
    <row r="1571" spans="1:12" x14ac:dyDescent="0.35">
      <c r="A1571" s="1" t="s">
        <v>30</v>
      </c>
      <c r="B1571">
        <v>2.44294E-2</v>
      </c>
      <c r="C1571">
        <v>1.0499000000000001E-3</v>
      </c>
      <c r="D1571">
        <v>0</v>
      </c>
      <c r="E1571">
        <v>0</v>
      </c>
      <c r="F1571">
        <v>0</v>
      </c>
      <c r="G1571">
        <v>790.93807000000004</v>
      </c>
      <c r="I1571">
        <f t="shared" si="96"/>
        <v>0.8601331402616047</v>
      </c>
      <c r="J1571">
        <f t="shared" si="97"/>
        <v>0</v>
      </c>
      <c r="K1571">
        <f t="shared" si="98"/>
        <v>0</v>
      </c>
      <c r="L1571">
        <f t="shared" si="99"/>
        <v>0</v>
      </c>
    </row>
    <row r="1572" spans="1:12" x14ac:dyDescent="0.35">
      <c r="A1572" s="1" t="s">
        <v>30</v>
      </c>
      <c r="B1572">
        <v>2.44294E-2</v>
      </c>
      <c r="C1572">
        <v>1.0499000000000001E-3</v>
      </c>
      <c r="D1572">
        <v>0</v>
      </c>
      <c r="E1572">
        <v>0</v>
      </c>
      <c r="F1572">
        <v>0</v>
      </c>
      <c r="G1572">
        <f>790.93807+0.0244294</f>
        <v>790.96249940000007</v>
      </c>
      <c r="I1572">
        <f t="shared" si="96"/>
        <v>0.8601331402616047</v>
      </c>
      <c r="J1572">
        <f t="shared" si="97"/>
        <v>0</v>
      </c>
      <c r="K1572">
        <f t="shared" si="98"/>
        <v>0</v>
      </c>
      <c r="L1572">
        <f t="shared" si="99"/>
        <v>0</v>
      </c>
    </row>
    <row r="1573" spans="1:12" x14ac:dyDescent="0.35">
      <c r="A1573" s="1" t="s">
        <v>75</v>
      </c>
      <c r="B1573">
        <v>0.40000102700000001</v>
      </c>
      <c r="C1573">
        <v>5.2300999999999997E-3</v>
      </c>
      <c r="D1573">
        <v>-1.5815999999999999</v>
      </c>
      <c r="E1573">
        <v>0</v>
      </c>
      <c r="F1573">
        <v>0</v>
      </c>
      <c r="G1573">
        <v>791.43299999999999</v>
      </c>
      <c r="I1573">
        <f t="shared" si="96"/>
        <v>0.26168536331815889</v>
      </c>
      <c r="J1573">
        <f t="shared" si="97"/>
        <v>-31.653898263125576</v>
      </c>
      <c r="K1573">
        <f t="shared" si="98"/>
        <v>0</v>
      </c>
      <c r="L1573">
        <f t="shared" si="99"/>
        <v>0</v>
      </c>
    </row>
    <row r="1574" spans="1:12" x14ac:dyDescent="0.35">
      <c r="A1574" s="1" t="s">
        <v>76</v>
      </c>
      <c r="B1574">
        <v>0.4975</v>
      </c>
      <c r="C1574">
        <v>0</v>
      </c>
      <c r="D1574">
        <v>4.61414189</v>
      </c>
      <c r="E1574">
        <v>0</v>
      </c>
      <c r="F1574">
        <v>0</v>
      </c>
      <c r="G1574">
        <v>792.19457</v>
      </c>
      <c r="I1574">
        <f t="shared" si="96"/>
        <v>0</v>
      </c>
      <c r="J1574">
        <f t="shared" si="97"/>
        <v>92.346723544313335</v>
      </c>
      <c r="K1574">
        <f t="shared" si="98"/>
        <v>0</v>
      </c>
      <c r="L1574">
        <f t="shared" si="99"/>
        <v>0</v>
      </c>
    </row>
    <row r="1575" spans="1:12" x14ac:dyDescent="0.35">
      <c r="A1575" s="1" t="s">
        <v>77</v>
      </c>
      <c r="B1575">
        <v>1.0280365199999999</v>
      </c>
      <c r="C1575">
        <v>2.4767999999999998E-2</v>
      </c>
      <c r="D1575">
        <v>-1.929</v>
      </c>
      <c r="E1575">
        <v>0</v>
      </c>
      <c r="F1575">
        <v>0</v>
      </c>
      <c r="G1575">
        <v>793.31259999999997</v>
      </c>
      <c r="I1575">
        <f t="shared" si="96"/>
        <v>0.48218416286837618</v>
      </c>
      <c r="J1575">
        <f t="shared" si="97"/>
        <v>-38.606708238220314</v>
      </c>
      <c r="K1575">
        <f t="shared" si="98"/>
        <v>0</v>
      </c>
      <c r="L1575">
        <f t="shared" si="99"/>
        <v>0</v>
      </c>
    </row>
    <row r="1576" spans="1:12" x14ac:dyDescent="0.35">
      <c r="A1576" s="1" t="s">
        <v>78</v>
      </c>
      <c r="B1576">
        <v>0.3745</v>
      </c>
      <c r="C1576">
        <v>0</v>
      </c>
      <c r="D1576">
        <v>4.5116622</v>
      </c>
      <c r="E1576">
        <v>0</v>
      </c>
      <c r="F1576">
        <v>0</v>
      </c>
      <c r="G1576">
        <v>793.77710000000002</v>
      </c>
      <c r="I1576">
        <f t="shared" si="96"/>
        <v>0</v>
      </c>
      <c r="J1576">
        <f t="shared" si="97"/>
        <v>90.29571084748946</v>
      </c>
      <c r="K1576">
        <f t="shared" si="98"/>
        <v>0</v>
      </c>
      <c r="L1576">
        <f t="shared" si="99"/>
        <v>0</v>
      </c>
    </row>
    <row r="1577" spans="1:12" x14ac:dyDescent="0.35">
      <c r="A1577" s="1" t="s">
        <v>35</v>
      </c>
      <c r="B1577">
        <v>0.41782941899999998</v>
      </c>
      <c r="C1577">
        <v>7.6290999999999998E-3</v>
      </c>
      <c r="D1577">
        <v>0</v>
      </c>
      <c r="E1577">
        <v>0</v>
      </c>
      <c r="F1577">
        <v>0</v>
      </c>
      <c r="G1577">
        <v>794.34492999999998</v>
      </c>
      <c r="I1577">
        <f t="shared" si="96"/>
        <v>0.36543053893202671</v>
      </c>
      <c r="J1577">
        <f t="shared" si="97"/>
        <v>0</v>
      </c>
      <c r="K1577">
        <f t="shared" si="98"/>
        <v>0</v>
      </c>
      <c r="L1577">
        <f t="shared" si="99"/>
        <v>0</v>
      </c>
    </row>
    <row r="1578" spans="1:12" x14ac:dyDescent="0.35">
      <c r="A1578" s="1" t="s">
        <v>36</v>
      </c>
      <c r="B1578">
        <v>0.41782864199999997</v>
      </c>
      <c r="C1578">
        <v>5.4992000000000001E-3</v>
      </c>
      <c r="D1578">
        <v>0</v>
      </c>
      <c r="E1578">
        <v>0</v>
      </c>
      <c r="F1578">
        <v>0</v>
      </c>
      <c r="G1578">
        <v>794.76275999999996</v>
      </c>
      <c r="I1578">
        <f t="shared" si="96"/>
        <v>0.26340975432619773</v>
      </c>
      <c r="J1578">
        <f t="shared" si="97"/>
        <v>0</v>
      </c>
      <c r="K1578">
        <f t="shared" si="98"/>
        <v>0</v>
      </c>
      <c r="L1578">
        <f t="shared" si="99"/>
        <v>0</v>
      </c>
    </row>
    <row r="1579" spans="1:12" x14ac:dyDescent="0.35">
      <c r="A1579" s="1" t="s">
        <v>37</v>
      </c>
      <c r="B1579">
        <v>0.41782827500000003</v>
      </c>
      <c r="C1579">
        <v>4.1392E-3</v>
      </c>
      <c r="D1579">
        <v>0</v>
      </c>
      <c r="E1579">
        <v>0</v>
      </c>
      <c r="F1579">
        <v>0</v>
      </c>
      <c r="G1579">
        <v>795.18059000000005</v>
      </c>
      <c r="I1579">
        <f t="shared" si="96"/>
        <v>0.19826640470947862</v>
      </c>
      <c r="J1579">
        <f t="shared" si="97"/>
        <v>0</v>
      </c>
      <c r="K1579">
        <f t="shared" si="98"/>
        <v>0</v>
      </c>
      <c r="L1579">
        <f t="shared" si="99"/>
        <v>0</v>
      </c>
    </row>
    <row r="1580" spans="1:12" x14ac:dyDescent="0.35">
      <c r="A1580" s="1" t="s">
        <v>38</v>
      </c>
      <c r="B1580">
        <v>0.41782808399999999</v>
      </c>
      <c r="C1580">
        <v>3.2192000000000002E-3</v>
      </c>
      <c r="D1580">
        <v>0</v>
      </c>
      <c r="E1580">
        <v>0</v>
      </c>
      <c r="F1580">
        <v>0</v>
      </c>
      <c r="G1580">
        <v>795.59842000000003</v>
      </c>
      <c r="I1580">
        <f t="shared" si="96"/>
        <v>0.15419875865034546</v>
      </c>
      <c r="J1580">
        <f t="shared" si="97"/>
        <v>0</v>
      </c>
      <c r="K1580">
        <f t="shared" si="98"/>
        <v>0</v>
      </c>
      <c r="L1580">
        <f t="shared" si="99"/>
        <v>0</v>
      </c>
    </row>
    <row r="1581" spans="1:12" x14ac:dyDescent="0.35">
      <c r="A1581" s="1" t="s">
        <v>39</v>
      </c>
      <c r="B1581">
        <v>0.41782794400000001</v>
      </c>
      <c r="C1581">
        <v>2.3392E-3</v>
      </c>
      <c r="D1581">
        <v>0</v>
      </c>
      <c r="E1581">
        <v>0</v>
      </c>
      <c r="F1581">
        <v>0</v>
      </c>
      <c r="G1581">
        <v>796.01625000000001</v>
      </c>
      <c r="I1581">
        <f t="shared" si="96"/>
        <v>0.11204704805350077</v>
      </c>
      <c r="J1581">
        <f t="shared" si="97"/>
        <v>0</v>
      </c>
      <c r="K1581">
        <f t="shared" si="98"/>
        <v>0</v>
      </c>
      <c r="L1581">
        <f t="shared" si="99"/>
        <v>0</v>
      </c>
    </row>
    <row r="1582" spans="1:12" x14ac:dyDescent="0.35">
      <c r="A1582" s="1" t="s">
        <v>79</v>
      </c>
      <c r="B1582">
        <v>0.21199999999999999</v>
      </c>
      <c r="C1582">
        <v>0</v>
      </c>
      <c r="D1582">
        <v>-2.53358734</v>
      </c>
      <c r="E1582">
        <v>0</v>
      </c>
      <c r="F1582">
        <v>0</v>
      </c>
      <c r="G1582">
        <v>796.27525000000003</v>
      </c>
      <c r="I1582">
        <f t="shared" si="96"/>
        <v>0</v>
      </c>
      <c r="J1582">
        <f t="shared" si="97"/>
        <v>-50.706825936458621</v>
      </c>
      <c r="K1582">
        <f t="shared" si="98"/>
        <v>0</v>
      </c>
      <c r="L1582">
        <f t="shared" si="99"/>
        <v>0</v>
      </c>
    </row>
    <row r="1583" spans="1:12" x14ac:dyDescent="0.35">
      <c r="A1583" s="1" t="s">
        <v>80</v>
      </c>
      <c r="B1583">
        <v>0.16600000000000001</v>
      </c>
      <c r="C1583">
        <v>0</v>
      </c>
      <c r="D1583">
        <v>0</v>
      </c>
      <c r="E1583">
        <v>-202.23429300000001</v>
      </c>
      <c r="F1583">
        <v>0</v>
      </c>
      <c r="G1583">
        <v>796.51625000000001</v>
      </c>
      <c r="I1583">
        <f t="shared" si="96"/>
        <v>0</v>
      </c>
      <c r="J1583">
        <f t="shared" si="97"/>
        <v>0</v>
      </c>
      <c r="K1583">
        <f t="shared" si="98"/>
        <v>-4047.4859230760812</v>
      </c>
      <c r="L1583">
        <f t="shared" si="99"/>
        <v>0</v>
      </c>
    </row>
    <row r="1584" spans="1:12" x14ac:dyDescent="0.35">
      <c r="A1584" s="1" t="s">
        <v>81</v>
      </c>
      <c r="B1584">
        <v>0.09</v>
      </c>
      <c r="C1584">
        <v>0</v>
      </c>
      <c r="D1584">
        <v>0</v>
      </c>
      <c r="E1584">
        <v>0</v>
      </c>
      <c r="F1584">
        <v>-13632</v>
      </c>
      <c r="G1584">
        <v>797.05709999999999</v>
      </c>
      <c r="I1584">
        <f t="shared" si="96"/>
        <v>0</v>
      </c>
      <c r="J1584">
        <f t="shared" si="97"/>
        <v>0</v>
      </c>
      <c r="K1584">
        <f t="shared" si="98"/>
        <v>0</v>
      </c>
      <c r="L1584">
        <f t="shared" si="99"/>
        <v>-272828.74375501258</v>
      </c>
    </row>
    <row r="1585" spans="1:12" x14ac:dyDescent="0.35">
      <c r="A1585" s="1" t="s">
        <v>82</v>
      </c>
      <c r="B1585">
        <v>0.21199999999999999</v>
      </c>
      <c r="C1585">
        <v>0</v>
      </c>
      <c r="D1585">
        <v>2.47240752</v>
      </c>
      <c r="E1585">
        <v>0</v>
      </c>
      <c r="F1585">
        <v>0</v>
      </c>
      <c r="G1585">
        <v>797.32910000000004</v>
      </c>
      <c r="I1585">
        <f t="shared" si="96"/>
        <v>0</v>
      </c>
      <c r="J1585">
        <f t="shared" si="97"/>
        <v>49.48238246273813</v>
      </c>
      <c r="K1585">
        <f t="shared" si="98"/>
        <v>0</v>
      </c>
      <c r="L1585">
        <f t="shared" si="99"/>
        <v>0</v>
      </c>
    </row>
    <row r="1586" spans="1:12" x14ac:dyDescent="0.35">
      <c r="A1586" s="1" t="s">
        <v>83</v>
      </c>
      <c r="B1586">
        <v>0.1</v>
      </c>
      <c r="C1586">
        <v>0</v>
      </c>
      <c r="D1586">
        <v>0</v>
      </c>
      <c r="E1586">
        <v>172.62799999999999</v>
      </c>
      <c r="F1586">
        <v>0</v>
      </c>
      <c r="G1586">
        <v>797.50409999999999</v>
      </c>
      <c r="I1586">
        <f t="shared" si="96"/>
        <v>0</v>
      </c>
      <c r="J1586">
        <f t="shared" si="97"/>
        <v>0</v>
      </c>
      <c r="K1586">
        <f t="shared" si="98"/>
        <v>3454.9501450220296</v>
      </c>
      <c r="L1586">
        <f t="shared" si="99"/>
        <v>0</v>
      </c>
    </row>
    <row r="1587" spans="1:12" x14ac:dyDescent="0.35">
      <c r="A1587" s="1" t="s">
        <v>83</v>
      </c>
      <c r="B1587">
        <v>0.1</v>
      </c>
      <c r="C1587">
        <v>0</v>
      </c>
      <c r="D1587">
        <v>0</v>
      </c>
      <c r="E1587">
        <v>172.62799999999999</v>
      </c>
      <c r="F1587">
        <v>0</v>
      </c>
      <c r="G1587">
        <f>0.1+797.5041</f>
        <v>797.60410000000002</v>
      </c>
      <c r="I1587">
        <f t="shared" si="96"/>
        <v>0</v>
      </c>
      <c r="J1587">
        <f t="shared" si="97"/>
        <v>0</v>
      </c>
      <c r="K1587">
        <f t="shared" si="98"/>
        <v>3454.9501450220296</v>
      </c>
      <c r="L1587">
        <f t="shared" si="99"/>
        <v>0</v>
      </c>
    </row>
    <row r="1588" spans="1:12" x14ac:dyDescent="0.35">
      <c r="A1588" s="1" t="s">
        <v>84</v>
      </c>
      <c r="B1588">
        <v>0.21199999999999999</v>
      </c>
      <c r="C1588">
        <v>0</v>
      </c>
      <c r="D1588">
        <v>2.47240752</v>
      </c>
      <c r="E1588">
        <v>0</v>
      </c>
      <c r="F1588">
        <v>0</v>
      </c>
      <c r="G1588">
        <v>797.89110000000005</v>
      </c>
      <c r="I1588">
        <f t="shared" si="96"/>
        <v>0</v>
      </c>
      <c r="J1588">
        <f t="shared" si="97"/>
        <v>49.48238246273813</v>
      </c>
      <c r="K1588">
        <f t="shared" si="98"/>
        <v>0</v>
      </c>
      <c r="L1588">
        <f t="shared" si="99"/>
        <v>0</v>
      </c>
    </row>
    <row r="1589" spans="1:12" x14ac:dyDescent="0.35">
      <c r="A1589" s="1" t="s">
        <v>85</v>
      </c>
      <c r="B1589">
        <v>0.16600000000000001</v>
      </c>
      <c r="C1589">
        <v>0</v>
      </c>
      <c r="D1589">
        <v>0</v>
      </c>
      <c r="E1589">
        <v>-132.861086</v>
      </c>
      <c r="F1589">
        <v>0</v>
      </c>
      <c r="G1589">
        <v>798.65795000000003</v>
      </c>
      <c r="I1589">
        <f t="shared" si="96"/>
        <v>0</v>
      </c>
      <c r="J1589">
        <f t="shared" si="97"/>
        <v>0</v>
      </c>
      <c r="K1589">
        <f t="shared" si="98"/>
        <v>-2659.0612666744933</v>
      </c>
      <c r="L1589">
        <f t="shared" si="99"/>
        <v>0</v>
      </c>
    </row>
    <row r="1590" spans="1:12" x14ac:dyDescent="0.35">
      <c r="A1590" s="1" t="s">
        <v>86</v>
      </c>
      <c r="B1590">
        <v>0.21199999999999999</v>
      </c>
      <c r="C1590">
        <v>0</v>
      </c>
      <c r="D1590">
        <v>-2.3709669899999999</v>
      </c>
      <c r="E1590">
        <v>0</v>
      </c>
      <c r="F1590">
        <v>0</v>
      </c>
      <c r="G1590">
        <v>798.94494999999995</v>
      </c>
      <c r="I1590">
        <f t="shared" si="96"/>
        <v>0</v>
      </c>
      <c r="J1590">
        <f t="shared" si="97"/>
        <v>-47.452167353748784</v>
      </c>
      <c r="K1590">
        <f t="shared" si="98"/>
        <v>0</v>
      </c>
      <c r="L1590">
        <f t="shared" si="99"/>
        <v>0</v>
      </c>
    </row>
    <row r="1591" spans="1:12" x14ac:dyDescent="0.35">
      <c r="A1591" s="1" t="s">
        <v>48</v>
      </c>
      <c r="B1591">
        <v>0.41782794400000001</v>
      </c>
      <c r="C1591">
        <v>2.3392E-3</v>
      </c>
      <c r="D1591">
        <v>0</v>
      </c>
      <c r="E1591">
        <v>0</v>
      </c>
      <c r="F1591">
        <v>0</v>
      </c>
      <c r="G1591">
        <v>799.40977999999996</v>
      </c>
      <c r="I1591">
        <f t="shared" si="96"/>
        <v>0.11204704805350077</v>
      </c>
      <c r="J1591">
        <f t="shared" si="97"/>
        <v>0</v>
      </c>
      <c r="K1591">
        <f t="shared" si="98"/>
        <v>0</v>
      </c>
      <c r="L1591">
        <f t="shared" si="99"/>
        <v>0</v>
      </c>
    </row>
    <row r="1592" spans="1:12" x14ac:dyDescent="0.35">
      <c r="A1592" s="1" t="s">
        <v>49</v>
      </c>
      <c r="B1592">
        <v>0.41782808399999999</v>
      </c>
      <c r="C1592">
        <v>3.2192000000000002E-3</v>
      </c>
      <c r="D1592">
        <v>0</v>
      </c>
      <c r="E1592">
        <v>0</v>
      </c>
      <c r="F1592">
        <v>0</v>
      </c>
      <c r="G1592">
        <v>799.82761000000005</v>
      </c>
      <c r="I1592">
        <f t="shared" si="96"/>
        <v>0.15419875865034546</v>
      </c>
      <c r="J1592">
        <f t="shared" si="97"/>
        <v>0</v>
      </c>
      <c r="K1592">
        <f t="shared" si="98"/>
        <v>0</v>
      </c>
      <c r="L1592">
        <f t="shared" si="99"/>
        <v>0</v>
      </c>
    </row>
    <row r="1593" spans="1:12" x14ac:dyDescent="0.35">
      <c r="A1593" s="1" t="s">
        <v>50</v>
      </c>
      <c r="B1593">
        <v>0.41782827500000003</v>
      </c>
      <c r="C1593">
        <v>4.1392E-3</v>
      </c>
      <c r="D1593">
        <v>0</v>
      </c>
      <c r="E1593">
        <v>0</v>
      </c>
      <c r="F1593">
        <v>0</v>
      </c>
      <c r="G1593">
        <v>800.24544000000003</v>
      </c>
      <c r="I1593">
        <f t="shared" si="96"/>
        <v>0.19826640470947862</v>
      </c>
      <c r="J1593">
        <f t="shared" si="97"/>
        <v>0</v>
      </c>
      <c r="K1593">
        <f t="shared" si="98"/>
        <v>0</v>
      </c>
      <c r="L1593">
        <f t="shared" si="99"/>
        <v>0</v>
      </c>
    </row>
    <row r="1594" spans="1:12" x14ac:dyDescent="0.35">
      <c r="A1594" s="1" t="s">
        <v>51</v>
      </c>
      <c r="B1594">
        <v>0.41782864199999997</v>
      </c>
      <c r="C1594">
        <v>5.4992000000000001E-3</v>
      </c>
      <c r="D1594">
        <v>0</v>
      </c>
      <c r="E1594">
        <v>0</v>
      </c>
      <c r="F1594">
        <v>0</v>
      </c>
      <c r="G1594">
        <v>800.66327000000001</v>
      </c>
      <c r="I1594">
        <f t="shared" si="96"/>
        <v>0.26340975432619773</v>
      </c>
      <c r="J1594">
        <f t="shared" si="97"/>
        <v>0</v>
      </c>
      <c r="K1594">
        <f t="shared" si="98"/>
        <v>0</v>
      </c>
      <c r="L1594">
        <f t="shared" si="99"/>
        <v>0</v>
      </c>
    </row>
    <row r="1595" spans="1:12" x14ac:dyDescent="0.35">
      <c r="A1595" s="1" t="s">
        <v>52</v>
      </c>
      <c r="B1595">
        <v>0.41783028900000002</v>
      </c>
      <c r="C1595">
        <v>9.4690999999999994E-3</v>
      </c>
      <c r="D1595">
        <v>0</v>
      </c>
      <c r="E1595">
        <v>0</v>
      </c>
      <c r="F1595">
        <v>0</v>
      </c>
      <c r="G1595">
        <v>801.08109999999999</v>
      </c>
      <c r="I1595">
        <f t="shared" si="96"/>
        <v>0.45356478630764774</v>
      </c>
      <c r="J1595">
        <f t="shared" si="97"/>
        <v>0</v>
      </c>
      <c r="K1595">
        <f t="shared" si="98"/>
        <v>0</v>
      </c>
      <c r="L1595">
        <f t="shared" si="99"/>
        <v>0</v>
      </c>
    </row>
    <row r="1596" spans="1:12" x14ac:dyDescent="0.35">
      <c r="A1596" s="1" t="s">
        <v>87</v>
      </c>
      <c r="B1596">
        <v>0.16200000000000001</v>
      </c>
      <c r="C1596">
        <v>0</v>
      </c>
      <c r="D1596">
        <v>-2.8698264299999998</v>
      </c>
      <c r="E1596">
        <v>0</v>
      </c>
      <c r="F1596">
        <v>0</v>
      </c>
      <c r="G1596">
        <v>801.29010000000005</v>
      </c>
      <c r="I1596">
        <f t="shared" si="96"/>
        <v>0</v>
      </c>
      <c r="J1596">
        <f t="shared" si="97"/>
        <v>-57.436263181619168</v>
      </c>
      <c r="K1596">
        <f t="shared" si="98"/>
        <v>0</v>
      </c>
      <c r="L1596">
        <f t="shared" si="99"/>
        <v>0</v>
      </c>
    </row>
    <row r="1597" spans="1:12" x14ac:dyDescent="0.35">
      <c r="A1597" s="1" t="s">
        <v>54</v>
      </c>
      <c r="B1597">
        <v>0.1</v>
      </c>
      <c r="C1597">
        <v>0</v>
      </c>
      <c r="D1597">
        <v>0</v>
      </c>
      <c r="E1597">
        <v>0</v>
      </c>
      <c r="F1597">
        <v>0</v>
      </c>
      <c r="G1597">
        <v>801.62009999999998</v>
      </c>
      <c r="I1597">
        <f t="shared" si="96"/>
        <v>0</v>
      </c>
      <c r="J1597">
        <f t="shared" si="97"/>
        <v>0</v>
      </c>
      <c r="K1597">
        <f t="shared" si="98"/>
        <v>0</v>
      </c>
      <c r="L1597">
        <f t="shared" si="99"/>
        <v>0</v>
      </c>
    </row>
    <row r="1598" spans="1:12" x14ac:dyDescent="0.35">
      <c r="A1598" s="1" t="s">
        <v>88</v>
      </c>
      <c r="B1598">
        <v>0.29499999999999998</v>
      </c>
      <c r="C1598">
        <v>0</v>
      </c>
      <c r="D1598">
        <v>2.43875777</v>
      </c>
      <c r="E1598">
        <v>0</v>
      </c>
      <c r="F1598">
        <v>0</v>
      </c>
      <c r="G1598">
        <v>802.02509999999995</v>
      </c>
      <c r="I1598">
        <f t="shared" si="96"/>
        <v>0</v>
      </c>
      <c r="J1598">
        <f t="shared" si="97"/>
        <v>48.808921560436907</v>
      </c>
      <c r="K1598">
        <f t="shared" si="98"/>
        <v>0</v>
      </c>
      <c r="L1598">
        <f t="shared" si="99"/>
        <v>0</v>
      </c>
    </row>
    <row r="1599" spans="1:12" x14ac:dyDescent="0.35">
      <c r="A1599" s="1" t="s">
        <v>56</v>
      </c>
      <c r="B1599">
        <v>0.29499999999999998</v>
      </c>
      <c r="C1599">
        <v>0</v>
      </c>
      <c r="D1599">
        <v>2.43875777</v>
      </c>
      <c r="E1599">
        <v>0</v>
      </c>
      <c r="F1599">
        <v>0</v>
      </c>
      <c r="G1599">
        <v>807.89824999999996</v>
      </c>
      <c r="I1599">
        <f t="shared" si="96"/>
        <v>0</v>
      </c>
      <c r="J1599">
        <f t="shared" si="97"/>
        <v>48.808921560436907</v>
      </c>
      <c r="K1599">
        <f t="shared" si="98"/>
        <v>0</v>
      </c>
      <c r="L1599">
        <f t="shared" si="99"/>
        <v>0</v>
      </c>
    </row>
    <row r="1600" spans="1:12" x14ac:dyDescent="0.35">
      <c r="A1600" s="1" t="s">
        <v>2</v>
      </c>
      <c r="B1600">
        <v>0.1</v>
      </c>
      <c r="C1600">
        <v>0</v>
      </c>
      <c r="D1600">
        <v>0</v>
      </c>
      <c r="E1600">
        <v>0</v>
      </c>
      <c r="F1600">
        <v>0</v>
      </c>
      <c r="G1600">
        <v>808.10825</v>
      </c>
      <c r="I1600">
        <f t="shared" si="96"/>
        <v>0</v>
      </c>
      <c r="J1600">
        <f t="shared" si="97"/>
        <v>0</v>
      </c>
      <c r="K1600">
        <f t="shared" si="98"/>
        <v>0</v>
      </c>
      <c r="L1600">
        <f t="shared" si="99"/>
        <v>0</v>
      </c>
    </row>
    <row r="1601" spans="1:12" x14ac:dyDescent="0.35">
      <c r="A1601" s="1" t="s">
        <v>57</v>
      </c>
      <c r="B1601">
        <v>0.16200000000000001</v>
      </c>
      <c r="C1601">
        <v>0</v>
      </c>
      <c r="D1601">
        <v>-2.8698264299999998</v>
      </c>
      <c r="E1601">
        <v>0</v>
      </c>
      <c r="F1601">
        <v>0</v>
      </c>
      <c r="G1601">
        <v>808.50025000000005</v>
      </c>
      <c r="I1601">
        <f t="shared" si="96"/>
        <v>0</v>
      </c>
      <c r="J1601">
        <f t="shared" si="97"/>
        <v>-57.436263181619168</v>
      </c>
      <c r="K1601">
        <f t="shared" si="98"/>
        <v>0</v>
      </c>
      <c r="L1601">
        <f t="shared" si="99"/>
        <v>0</v>
      </c>
    </row>
    <row r="1602" spans="1:12" x14ac:dyDescent="0.35">
      <c r="A1602" s="1" t="s">
        <v>58</v>
      </c>
      <c r="B1602">
        <v>0.41783028900000002</v>
      </c>
      <c r="C1602">
        <v>9.4690999999999994E-3</v>
      </c>
      <c r="D1602">
        <v>0</v>
      </c>
      <c r="E1602">
        <v>0</v>
      </c>
      <c r="F1602">
        <v>0</v>
      </c>
      <c r="G1602">
        <v>808.96507999999994</v>
      </c>
      <c r="I1602">
        <f t="shared" si="96"/>
        <v>0.45356478630764774</v>
      </c>
      <c r="J1602">
        <f t="shared" si="97"/>
        <v>0</v>
      </c>
      <c r="K1602">
        <f t="shared" si="98"/>
        <v>0</v>
      </c>
      <c r="L1602">
        <f t="shared" si="99"/>
        <v>0</v>
      </c>
    </row>
    <row r="1603" spans="1:12" x14ac:dyDescent="0.35">
      <c r="A1603" s="1" t="s">
        <v>59</v>
      </c>
      <c r="B1603">
        <v>0.41782864199999997</v>
      </c>
      <c r="C1603">
        <v>5.4992000000000001E-3</v>
      </c>
      <c r="D1603">
        <v>0</v>
      </c>
      <c r="E1603">
        <v>0</v>
      </c>
      <c r="F1603">
        <v>0</v>
      </c>
      <c r="G1603">
        <v>809.38291000000004</v>
      </c>
      <c r="I1603">
        <f t="shared" si="96"/>
        <v>0.26340975432619773</v>
      </c>
      <c r="J1603">
        <f t="shared" si="97"/>
        <v>0</v>
      </c>
      <c r="K1603">
        <f t="shared" si="98"/>
        <v>0</v>
      </c>
      <c r="L1603">
        <f t="shared" si="99"/>
        <v>0</v>
      </c>
    </row>
    <row r="1604" spans="1:12" x14ac:dyDescent="0.35">
      <c r="A1604" s="1" t="s">
        <v>60</v>
      </c>
      <c r="B1604">
        <v>0.41782827500000003</v>
      </c>
      <c r="C1604">
        <v>4.1392E-3</v>
      </c>
      <c r="D1604">
        <v>0</v>
      </c>
      <c r="E1604">
        <v>0</v>
      </c>
      <c r="F1604">
        <v>0</v>
      </c>
      <c r="G1604">
        <v>809.80074000000002</v>
      </c>
      <c r="I1604">
        <f t="shared" ref="I1604:I1667" si="100">$H$2*$C1604/$B1604</f>
        <v>0.19826640470947862</v>
      </c>
      <c r="J1604">
        <f t="shared" ref="J1604:J1667" si="101">$H$2*$D1604</f>
        <v>0</v>
      </c>
      <c r="K1604">
        <f t="shared" ref="K1604:K1667" si="102">$H$2*$E1604</f>
        <v>0</v>
      </c>
      <c r="L1604">
        <f t="shared" ref="L1604:L1667" si="103">$H$2*$F1604</f>
        <v>0</v>
      </c>
    </row>
    <row r="1605" spans="1:12" x14ac:dyDescent="0.35">
      <c r="A1605" s="1" t="s">
        <v>61</v>
      </c>
      <c r="B1605">
        <v>0.41782808399999999</v>
      </c>
      <c r="C1605">
        <v>3.2192000000000002E-3</v>
      </c>
      <c r="D1605">
        <v>0</v>
      </c>
      <c r="E1605">
        <v>0</v>
      </c>
      <c r="F1605">
        <v>0</v>
      </c>
      <c r="G1605">
        <v>810.21857</v>
      </c>
      <c r="I1605">
        <f t="shared" si="100"/>
        <v>0.15419875865034546</v>
      </c>
      <c r="J1605">
        <f t="shared" si="101"/>
        <v>0</v>
      </c>
      <c r="K1605">
        <f t="shared" si="102"/>
        <v>0</v>
      </c>
      <c r="L1605">
        <f t="shared" si="103"/>
        <v>0</v>
      </c>
    </row>
    <row r="1606" spans="1:12" x14ac:dyDescent="0.35">
      <c r="A1606" s="1" t="s">
        <v>62</v>
      </c>
      <c r="B1606">
        <v>0.41782794400000001</v>
      </c>
      <c r="C1606">
        <v>2.3392E-3</v>
      </c>
      <c r="D1606">
        <v>0</v>
      </c>
      <c r="E1606">
        <v>0</v>
      </c>
      <c r="F1606">
        <v>0</v>
      </c>
      <c r="G1606">
        <v>810.63639000000001</v>
      </c>
      <c r="I1606">
        <f t="shared" si="100"/>
        <v>0.11204704805350077</v>
      </c>
      <c r="J1606">
        <f t="shared" si="101"/>
        <v>0</v>
      </c>
      <c r="K1606">
        <f t="shared" si="102"/>
        <v>0</v>
      </c>
      <c r="L1606">
        <f t="shared" si="103"/>
        <v>0</v>
      </c>
    </row>
    <row r="1607" spans="1:12" x14ac:dyDescent="0.35">
      <c r="A1607" s="1" t="s">
        <v>63</v>
      </c>
      <c r="B1607">
        <v>0.21199999999999999</v>
      </c>
      <c r="C1607">
        <v>0</v>
      </c>
      <c r="D1607">
        <v>-2.3709669899999999</v>
      </c>
      <c r="E1607">
        <v>0</v>
      </c>
      <c r="F1607">
        <v>0</v>
      </c>
      <c r="G1607">
        <v>810.89539000000002</v>
      </c>
      <c r="I1607">
        <f t="shared" si="100"/>
        <v>0</v>
      </c>
      <c r="J1607">
        <f t="shared" si="101"/>
        <v>-47.452167353748784</v>
      </c>
      <c r="K1607">
        <f t="shared" si="102"/>
        <v>0</v>
      </c>
      <c r="L1607">
        <f t="shared" si="103"/>
        <v>0</v>
      </c>
    </row>
    <row r="1608" spans="1:12" x14ac:dyDescent="0.35">
      <c r="A1608" s="1" t="s">
        <v>64</v>
      </c>
      <c r="B1608">
        <v>0.16600000000000001</v>
      </c>
      <c r="C1608">
        <v>0</v>
      </c>
      <c r="D1608">
        <v>0</v>
      </c>
      <c r="E1608">
        <v>-132.861086</v>
      </c>
      <c r="F1608">
        <v>0</v>
      </c>
      <c r="G1608">
        <v>811.13639000000001</v>
      </c>
      <c r="I1608">
        <f t="shared" si="100"/>
        <v>0</v>
      </c>
      <c r="J1608">
        <f t="shared" si="101"/>
        <v>0</v>
      </c>
      <c r="K1608">
        <f t="shared" si="102"/>
        <v>-2659.0612666744933</v>
      </c>
      <c r="L1608">
        <f t="shared" si="103"/>
        <v>0</v>
      </c>
    </row>
    <row r="1609" spans="1:12" x14ac:dyDescent="0.35">
      <c r="A1609" s="1" t="s">
        <v>65</v>
      </c>
      <c r="B1609">
        <v>0.21199999999999999</v>
      </c>
      <c r="C1609">
        <v>0</v>
      </c>
      <c r="D1609">
        <v>2.47240752</v>
      </c>
      <c r="E1609">
        <v>0</v>
      </c>
      <c r="F1609">
        <v>0</v>
      </c>
      <c r="G1609">
        <v>811.94925000000001</v>
      </c>
      <c r="I1609">
        <f t="shared" si="100"/>
        <v>0</v>
      </c>
      <c r="J1609">
        <f t="shared" si="101"/>
        <v>49.48238246273813</v>
      </c>
      <c r="K1609">
        <f t="shared" si="102"/>
        <v>0</v>
      </c>
      <c r="L1609">
        <f t="shared" si="103"/>
        <v>0</v>
      </c>
    </row>
    <row r="1610" spans="1:12" x14ac:dyDescent="0.35">
      <c r="A1610" s="1" t="s">
        <v>66</v>
      </c>
      <c r="B1610">
        <v>0.1</v>
      </c>
      <c r="C1610">
        <v>0</v>
      </c>
      <c r="D1610">
        <v>0</v>
      </c>
      <c r="E1610">
        <v>172.62799999999999</v>
      </c>
      <c r="F1610">
        <v>0</v>
      </c>
      <c r="G1610">
        <v>812.12424999999996</v>
      </c>
      <c r="I1610">
        <f t="shared" si="100"/>
        <v>0</v>
      </c>
      <c r="J1610">
        <f t="shared" si="101"/>
        <v>0</v>
      </c>
      <c r="K1610">
        <f t="shared" si="102"/>
        <v>3454.9501450220296</v>
      </c>
      <c r="L1610">
        <f t="shared" si="103"/>
        <v>0</v>
      </c>
    </row>
    <row r="1611" spans="1:12" x14ac:dyDescent="0.35">
      <c r="A1611" s="1" t="s">
        <v>66</v>
      </c>
      <c r="B1611">
        <v>0.1</v>
      </c>
      <c r="C1611">
        <v>0</v>
      </c>
      <c r="D1611">
        <v>0</v>
      </c>
      <c r="E1611">
        <v>172.62799999999999</v>
      </c>
      <c r="F1611">
        <v>0</v>
      </c>
      <c r="G1611">
        <f>812.12425+0.1</f>
        <v>812.22424999999998</v>
      </c>
      <c r="I1611">
        <f t="shared" si="100"/>
        <v>0</v>
      </c>
      <c r="J1611">
        <f t="shared" si="101"/>
        <v>0</v>
      </c>
      <c r="K1611">
        <f t="shared" si="102"/>
        <v>3454.9501450220296</v>
      </c>
      <c r="L1611">
        <f t="shared" si="103"/>
        <v>0</v>
      </c>
    </row>
    <row r="1612" spans="1:12" x14ac:dyDescent="0.35">
      <c r="A1612" s="1" t="s">
        <v>67</v>
      </c>
      <c r="B1612">
        <v>0.21199999999999999</v>
      </c>
      <c r="C1612">
        <v>0</v>
      </c>
      <c r="D1612">
        <v>2.47240752</v>
      </c>
      <c r="E1612">
        <v>0</v>
      </c>
      <c r="F1612">
        <v>0</v>
      </c>
      <c r="G1612">
        <v>812.51125000000002</v>
      </c>
      <c r="I1612">
        <f t="shared" si="100"/>
        <v>0</v>
      </c>
      <c r="J1612">
        <f t="shared" si="101"/>
        <v>49.48238246273813</v>
      </c>
      <c r="K1612">
        <f t="shared" si="102"/>
        <v>0</v>
      </c>
      <c r="L1612">
        <f t="shared" si="103"/>
        <v>0</v>
      </c>
    </row>
    <row r="1613" spans="1:12" x14ac:dyDescent="0.35">
      <c r="A1613" s="1" t="s">
        <v>68</v>
      </c>
      <c r="B1613">
        <v>0.09</v>
      </c>
      <c r="C1613">
        <v>0</v>
      </c>
      <c r="D1613">
        <v>0</v>
      </c>
      <c r="E1613">
        <v>0</v>
      </c>
      <c r="F1613">
        <v>-13632</v>
      </c>
      <c r="G1613">
        <v>812.66125</v>
      </c>
      <c r="I1613">
        <f t="shared" si="100"/>
        <v>0</v>
      </c>
      <c r="J1613">
        <f t="shared" si="101"/>
        <v>0</v>
      </c>
      <c r="K1613">
        <f t="shared" si="102"/>
        <v>0</v>
      </c>
      <c r="L1613">
        <f t="shared" si="103"/>
        <v>-272828.74375501258</v>
      </c>
    </row>
    <row r="1614" spans="1:12" x14ac:dyDescent="0.35">
      <c r="A1614" s="1" t="s">
        <v>69</v>
      </c>
      <c r="B1614">
        <v>0.16600000000000001</v>
      </c>
      <c r="C1614">
        <v>0</v>
      </c>
      <c r="D1614">
        <v>0</v>
      </c>
      <c r="E1614">
        <v>-202.23429300000001</v>
      </c>
      <c r="F1614">
        <v>0</v>
      </c>
      <c r="G1614">
        <v>813.27809999999999</v>
      </c>
      <c r="I1614">
        <f t="shared" si="100"/>
        <v>0</v>
      </c>
      <c r="J1614">
        <f t="shared" si="101"/>
        <v>0</v>
      </c>
      <c r="K1614">
        <f t="shared" si="102"/>
        <v>-4047.4859230760812</v>
      </c>
      <c r="L1614">
        <f t="shared" si="103"/>
        <v>0</v>
      </c>
    </row>
    <row r="1615" spans="1:12" x14ac:dyDescent="0.35">
      <c r="A1615" s="1" t="s">
        <v>70</v>
      </c>
      <c r="B1615">
        <v>0.21199999999999999</v>
      </c>
      <c r="C1615">
        <v>0</v>
      </c>
      <c r="D1615">
        <v>-2.53358734</v>
      </c>
      <c r="E1615">
        <v>0</v>
      </c>
      <c r="F1615">
        <v>0</v>
      </c>
      <c r="G1615">
        <v>813.56510000000003</v>
      </c>
      <c r="I1615">
        <f t="shared" si="100"/>
        <v>0</v>
      </c>
      <c r="J1615">
        <f t="shared" si="101"/>
        <v>-50.706825936458621</v>
      </c>
      <c r="K1615">
        <f t="shared" si="102"/>
        <v>0</v>
      </c>
      <c r="L1615">
        <f t="shared" si="103"/>
        <v>0</v>
      </c>
    </row>
    <row r="1616" spans="1:12" x14ac:dyDescent="0.35">
      <c r="A1616" s="1" t="s">
        <v>20</v>
      </c>
      <c r="B1616">
        <v>0.41782794400000001</v>
      </c>
      <c r="C1616">
        <v>2.3392E-3</v>
      </c>
      <c r="D1616">
        <v>0</v>
      </c>
      <c r="E1616">
        <v>0</v>
      </c>
      <c r="F1616">
        <v>0</v>
      </c>
      <c r="G1616">
        <v>814.02993000000004</v>
      </c>
      <c r="I1616">
        <f t="shared" si="100"/>
        <v>0.11204704805350077</v>
      </c>
      <c r="J1616">
        <f t="shared" si="101"/>
        <v>0</v>
      </c>
      <c r="K1616">
        <f t="shared" si="102"/>
        <v>0</v>
      </c>
      <c r="L1616">
        <f t="shared" si="103"/>
        <v>0</v>
      </c>
    </row>
    <row r="1617" spans="1:12" x14ac:dyDescent="0.35">
      <c r="A1617" s="1" t="s">
        <v>21</v>
      </c>
      <c r="B1617">
        <v>0.41782808399999999</v>
      </c>
      <c r="C1617">
        <v>3.2192000000000002E-3</v>
      </c>
      <c r="D1617">
        <v>0</v>
      </c>
      <c r="E1617">
        <v>0</v>
      </c>
      <c r="F1617">
        <v>0</v>
      </c>
      <c r="G1617">
        <v>814.44776000000002</v>
      </c>
      <c r="I1617">
        <f t="shared" si="100"/>
        <v>0.15419875865034546</v>
      </c>
      <c r="J1617">
        <f t="shared" si="101"/>
        <v>0</v>
      </c>
      <c r="K1617">
        <f t="shared" si="102"/>
        <v>0</v>
      </c>
      <c r="L1617">
        <f t="shared" si="103"/>
        <v>0</v>
      </c>
    </row>
    <row r="1618" spans="1:12" x14ac:dyDescent="0.35">
      <c r="A1618" s="1" t="s">
        <v>22</v>
      </c>
      <c r="B1618">
        <v>0.41782827500000003</v>
      </c>
      <c r="C1618">
        <v>4.1392E-3</v>
      </c>
      <c r="D1618">
        <v>0</v>
      </c>
      <c r="E1618">
        <v>0</v>
      </c>
      <c r="F1618">
        <v>0</v>
      </c>
      <c r="G1618">
        <v>814.86558000000002</v>
      </c>
      <c r="I1618">
        <f t="shared" si="100"/>
        <v>0.19826640470947862</v>
      </c>
      <c r="J1618">
        <f t="shared" si="101"/>
        <v>0</v>
      </c>
      <c r="K1618">
        <f t="shared" si="102"/>
        <v>0</v>
      </c>
      <c r="L1618">
        <f t="shared" si="103"/>
        <v>0</v>
      </c>
    </row>
    <row r="1619" spans="1:12" x14ac:dyDescent="0.35">
      <c r="A1619" s="1" t="s">
        <v>23</v>
      </c>
      <c r="B1619">
        <v>0.41782864199999997</v>
      </c>
      <c r="C1619">
        <v>5.4992000000000001E-3</v>
      </c>
      <c r="D1619">
        <v>0</v>
      </c>
      <c r="E1619">
        <v>0</v>
      </c>
      <c r="F1619">
        <v>0</v>
      </c>
      <c r="G1619">
        <v>815.28341</v>
      </c>
      <c r="I1619">
        <f t="shared" si="100"/>
        <v>0.26340975432619773</v>
      </c>
      <c r="J1619">
        <f t="shared" si="101"/>
        <v>0</v>
      </c>
      <c r="K1619">
        <f t="shared" si="102"/>
        <v>0</v>
      </c>
      <c r="L1619">
        <f t="shared" si="103"/>
        <v>0</v>
      </c>
    </row>
    <row r="1620" spans="1:12" x14ac:dyDescent="0.35">
      <c r="A1620" s="1" t="s">
        <v>24</v>
      </c>
      <c r="B1620">
        <v>0.41782941899999998</v>
      </c>
      <c r="C1620">
        <v>7.6290999999999998E-3</v>
      </c>
      <c r="D1620">
        <v>0</v>
      </c>
      <c r="E1620">
        <v>0</v>
      </c>
      <c r="F1620">
        <v>0</v>
      </c>
      <c r="G1620">
        <v>815.70123999999998</v>
      </c>
      <c r="I1620">
        <f t="shared" si="100"/>
        <v>0.36543053893202671</v>
      </c>
      <c r="J1620">
        <f t="shared" si="101"/>
        <v>0</v>
      </c>
      <c r="K1620">
        <f t="shared" si="102"/>
        <v>0</v>
      </c>
      <c r="L1620">
        <f t="shared" si="103"/>
        <v>0</v>
      </c>
    </row>
    <row r="1621" spans="1:12" x14ac:dyDescent="0.35">
      <c r="A1621" s="1" t="s">
        <v>71</v>
      </c>
      <c r="B1621">
        <v>0.3745</v>
      </c>
      <c r="C1621">
        <v>0</v>
      </c>
      <c r="D1621">
        <v>4.5116622</v>
      </c>
      <c r="E1621">
        <v>0</v>
      </c>
      <c r="F1621">
        <v>0</v>
      </c>
      <c r="G1621">
        <v>816.22573999999997</v>
      </c>
      <c r="I1621">
        <f t="shared" si="100"/>
        <v>0</v>
      </c>
      <c r="J1621">
        <f t="shared" si="101"/>
        <v>90.29571084748946</v>
      </c>
      <c r="K1621">
        <f t="shared" si="102"/>
        <v>0</v>
      </c>
      <c r="L1621">
        <f t="shared" si="103"/>
        <v>0</v>
      </c>
    </row>
    <row r="1622" spans="1:12" x14ac:dyDescent="0.35">
      <c r="A1622" s="1" t="s">
        <v>72</v>
      </c>
      <c r="B1622">
        <v>1.0280365199999999</v>
      </c>
      <c r="C1622">
        <v>2.4767999999999998E-2</v>
      </c>
      <c r="D1622">
        <v>-1.929</v>
      </c>
      <c r="E1622">
        <v>0</v>
      </c>
      <c r="F1622">
        <v>0</v>
      </c>
      <c r="G1622">
        <v>817.34378000000004</v>
      </c>
      <c r="I1622">
        <f t="shared" si="100"/>
        <v>0.48218416286837618</v>
      </c>
      <c r="J1622">
        <f t="shared" si="101"/>
        <v>-38.606708238220314</v>
      </c>
      <c r="K1622">
        <f t="shared" si="102"/>
        <v>0</v>
      </c>
      <c r="L1622">
        <f t="shared" si="103"/>
        <v>0</v>
      </c>
    </row>
    <row r="1623" spans="1:12" x14ac:dyDescent="0.35">
      <c r="A1623" s="1" t="s">
        <v>73</v>
      </c>
      <c r="B1623">
        <v>0.4975</v>
      </c>
      <c r="C1623">
        <v>0</v>
      </c>
      <c r="D1623">
        <v>4.61414189</v>
      </c>
      <c r="E1623">
        <v>0</v>
      </c>
      <c r="F1623">
        <v>0</v>
      </c>
      <c r="G1623">
        <v>817.93128000000002</v>
      </c>
      <c r="I1623">
        <f t="shared" si="100"/>
        <v>0</v>
      </c>
      <c r="J1623">
        <f t="shared" si="101"/>
        <v>92.346723544313335</v>
      </c>
      <c r="K1623">
        <f t="shared" si="102"/>
        <v>0</v>
      </c>
      <c r="L1623">
        <f t="shared" si="103"/>
        <v>0</v>
      </c>
    </row>
    <row r="1624" spans="1:12" x14ac:dyDescent="0.35">
      <c r="A1624" s="1" t="s">
        <v>28</v>
      </c>
      <c r="B1624">
        <v>0.1</v>
      </c>
      <c r="C1624">
        <v>0</v>
      </c>
      <c r="D1624">
        <v>0</v>
      </c>
      <c r="E1624">
        <v>0</v>
      </c>
      <c r="F1624">
        <v>0</v>
      </c>
      <c r="G1624">
        <v>818.10235</v>
      </c>
      <c r="I1624">
        <f t="shared" si="100"/>
        <v>0</v>
      </c>
      <c r="J1624">
        <f t="shared" si="101"/>
        <v>0</v>
      </c>
      <c r="K1624">
        <f t="shared" si="102"/>
        <v>0</v>
      </c>
      <c r="L1624">
        <f t="shared" si="103"/>
        <v>0</v>
      </c>
    </row>
    <row r="1625" spans="1:12" x14ac:dyDescent="0.35">
      <c r="A1625" s="1" t="s">
        <v>74</v>
      </c>
      <c r="B1625">
        <v>0.40000102700000001</v>
      </c>
      <c r="C1625">
        <v>5.2300999999999997E-3</v>
      </c>
      <c r="D1625">
        <v>-1.5815999999999999</v>
      </c>
      <c r="E1625">
        <v>0</v>
      </c>
      <c r="F1625">
        <v>0</v>
      </c>
      <c r="G1625">
        <v>818.59535000000005</v>
      </c>
      <c r="I1625">
        <f t="shared" si="100"/>
        <v>0.26168536331815889</v>
      </c>
      <c r="J1625">
        <f t="shared" si="101"/>
        <v>-31.653898263125576</v>
      </c>
      <c r="K1625">
        <f t="shared" si="102"/>
        <v>0</v>
      </c>
      <c r="L1625">
        <f t="shared" si="103"/>
        <v>0</v>
      </c>
    </row>
    <row r="1626" spans="1:12" x14ac:dyDescent="0.35">
      <c r="A1626" s="1" t="s">
        <v>30</v>
      </c>
      <c r="B1626">
        <v>2.44294E-2</v>
      </c>
      <c r="C1626">
        <v>1.0499000000000001E-3</v>
      </c>
      <c r="D1626">
        <v>0</v>
      </c>
      <c r="E1626">
        <v>0</v>
      </c>
      <c r="F1626">
        <v>0</v>
      </c>
      <c r="G1626">
        <v>818.69028000000003</v>
      </c>
      <c r="I1626">
        <f t="shared" si="100"/>
        <v>0.8601331402616047</v>
      </c>
      <c r="J1626">
        <f t="shared" si="101"/>
        <v>0</v>
      </c>
      <c r="K1626">
        <f t="shared" si="102"/>
        <v>0</v>
      </c>
      <c r="L1626">
        <f t="shared" si="103"/>
        <v>0</v>
      </c>
    </row>
    <row r="1627" spans="1:12" x14ac:dyDescent="0.35">
      <c r="A1627" s="1" t="s">
        <v>30</v>
      </c>
      <c r="B1627">
        <v>2.44294E-2</v>
      </c>
      <c r="C1627">
        <v>1.0499000000000001E-3</v>
      </c>
      <c r="D1627">
        <v>0</v>
      </c>
      <c r="E1627">
        <v>0</v>
      </c>
      <c r="F1627">
        <v>0</v>
      </c>
      <c r="G1627">
        <f>818.69028+0.0244294</f>
        <v>818.71470940000006</v>
      </c>
      <c r="I1627">
        <f t="shared" si="100"/>
        <v>0.8601331402616047</v>
      </c>
      <c r="J1627">
        <f t="shared" si="101"/>
        <v>0</v>
      </c>
      <c r="K1627">
        <f t="shared" si="102"/>
        <v>0</v>
      </c>
      <c r="L1627">
        <f t="shared" si="103"/>
        <v>0</v>
      </c>
    </row>
    <row r="1628" spans="1:12" x14ac:dyDescent="0.35">
      <c r="A1628" s="1" t="s">
        <v>75</v>
      </c>
      <c r="B1628">
        <v>0.40000102700000001</v>
      </c>
      <c r="C1628">
        <v>5.2300999999999997E-3</v>
      </c>
      <c r="D1628">
        <v>-1.5815999999999999</v>
      </c>
      <c r="E1628">
        <v>0</v>
      </c>
      <c r="F1628">
        <v>0</v>
      </c>
      <c r="G1628">
        <v>819.18520999999998</v>
      </c>
      <c r="I1628">
        <f t="shared" si="100"/>
        <v>0.26168536331815889</v>
      </c>
      <c r="J1628">
        <f t="shared" si="101"/>
        <v>-31.653898263125576</v>
      </c>
      <c r="K1628">
        <f t="shared" si="102"/>
        <v>0</v>
      </c>
      <c r="L1628">
        <f t="shared" si="103"/>
        <v>0</v>
      </c>
    </row>
    <row r="1629" spans="1:12" x14ac:dyDescent="0.35">
      <c r="A1629" s="1" t="s">
        <v>76</v>
      </c>
      <c r="B1629">
        <v>0.4975</v>
      </c>
      <c r="C1629">
        <v>0</v>
      </c>
      <c r="D1629">
        <v>4.61414189</v>
      </c>
      <c r="E1629">
        <v>0</v>
      </c>
      <c r="F1629">
        <v>0</v>
      </c>
      <c r="G1629">
        <v>819.94677999999999</v>
      </c>
      <c r="I1629">
        <f t="shared" si="100"/>
        <v>0</v>
      </c>
      <c r="J1629">
        <f t="shared" si="101"/>
        <v>92.346723544313335</v>
      </c>
      <c r="K1629">
        <f t="shared" si="102"/>
        <v>0</v>
      </c>
      <c r="L1629">
        <f t="shared" si="103"/>
        <v>0</v>
      </c>
    </row>
    <row r="1630" spans="1:12" x14ac:dyDescent="0.35">
      <c r="A1630" s="1" t="s">
        <v>77</v>
      </c>
      <c r="B1630">
        <v>1.0280365199999999</v>
      </c>
      <c r="C1630">
        <v>2.4767999999999998E-2</v>
      </c>
      <c r="D1630">
        <v>-1.929</v>
      </c>
      <c r="E1630">
        <v>0</v>
      </c>
      <c r="F1630">
        <v>0</v>
      </c>
      <c r="G1630">
        <v>821.06482000000005</v>
      </c>
      <c r="I1630">
        <f t="shared" si="100"/>
        <v>0.48218416286837618</v>
      </c>
      <c r="J1630">
        <f t="shared" si="101"/>
        <v>-38.606708238220314</v>
      </c>
      <c r="K1630">
        <f t="shared" si="102"/>
        <v>0</v>
      </c>
      <c r="L1630">
        <f t="shared" si="103"/>
        <v>0</v>
      </c>
    </row>
    <row r="1631" spans="1:12" x14ac:dyDescent="0.35">
      <c r="A1631" s="1" t="s">
        <v>78</v>
      </c>
      <c r="B1631">
        <v>0.3745</v>
      </c>
      <c r="C1631">
        <v>0</v>
      </c>
      <c r="D1631">
        <v>4.5116622</v>
      </c>
      <c r="E1631">
        <v>0</v>
      </c>
      <c r="F1631">
        <v>0</v>
      </c>
      <c r="G1631">
        <v>821.52931999999998</v>
      </c>
      <c r="I1631">
        <f t="shared" si="100"/>
        <v>0</v>
      </c>
      <c r="J1631">
        <f t="shared" si="101"/>
        <v>90.29571084748946</v>
      </c>
      <c r="K1631">
        <f t="shared" si="102"/>
        <v>0</v>
      </c>
      <c r="L1631">
        <f t="shared" si="103"/>
        <v>0</v>
      </c>
    </row>
    <row r="1632" spans="1:12" x14ac:dyDescent="0.35">
      <c r="A1632" s="1" t="s">
        <v>35</v>
      </c>
      <c r="B1632">
        <v>0.41782941899999998</v>
      </c>
      <c r="C1632">
        <v>7.6290999999999998E-3</v>
      </c>
      <c r="D1632">
        <v>0</v>
      </c>
      <c r="E1632">
        <v>0</v>
      </c>
      <c r="F1632">
        <v>0</v>
      </c>
      <c r="G1632">
        <v>822.09715000000006</v>
      </c>
      <c r="I1632">
        <f t="shared" si="100"/>
        <v>0.36543053893202671</v>
      </c>
      <c r="J1632">
        <f t="shared" si="101"/>
        <v>0</v>
      </c>
      <c r="K1632">
        <f t="shared" si="102"/>
        <v>0</v>
      </c>
      <c r="L1632">
        <f t="shared" si="103"/>
        <v>0</v>
      </c>
    </row>
    <row r="1633" spans="1:12" x14ac:dyDescent="0.35">
      <c r="A1633" s="1" t="s">
        <v>36</v>
      </c>
      <c r="B1633">
        <v>0.41782864199999997</v>
      </c>
      <c r="C1633">
        <v>5.4992000000000001E-3</v>
      </c>
      <c r="D1633">
        <v>0</v>
      </c>
      <c r="E1633">
        <v>0</v>
      </c>
      <c r="F1633">
        <v>0</v>
      </c>
      <c r="G1633">
        <v>822.51498000000004</v>
      </c>
      <c r="I1633">
        <f t="shared" si="100"/>
        <v>0.26340975432619773</v>
      </c>
      <c r="J1633">
        <f t="shared" si="101"/>
        <v>0</v>
      </c>
      <c r="K1633">
        <f t="shared" si="102"/>
        <v>0</v>
      </c>
      <c r="L1633">
        <f t="shared" si="103"/>
        <v>0</v>
      </c>
    </row>
    <row r="1634" spans="1:12" x14ac:dyDescent="0.35">
      <c r="A1634" s="1" t="s">
        <v>37</v>
      </c>
      <c r="B1634">
        <v>0.41782827500000003</v>
      </c>
      <c r="C1634">
        <v>4.1392E-3</v>
      </c>
      <c r="D1634">
        <v>0</v>
      </c>
      <c r="E1634">
        <v>0</v>
      </c>
      <c r="F1634">
        <v>0</v>
      </c>
      <c r="G1634">
        <v>822.93280000000004</v>
      </c>
      <c r="I1634">
        <f t="shared" si="100"/>
        <v>0.19826640470947862</v>
      </c>
      <c r="J1634">
        <f t="shared" si="101"/>
        <v>0</v>
      </c>
      <c r="K1634">
        <f t="shared" si="102"/>
        <v>0</v>
      </c>
      <c r="L1634">
        <f t="shared" si="103"/>
        <v>0</v>
      </c>
    </row>
    <row r="1635" spans="1:12" x14ac:dyDescent="0.35">
      <c r="A1635" s="1" t="s">
        <v>38</v>
      </c>
      <c r="B1635">
        <v>0.41782808399999999</v>
      </c>
      <c r="C1635">
        <v>3.2192000000000002E-3</v>
      </c>
      <c r="D1635">
        <v>0</v>
      </c>
      <c r="E1635">
        <v>0</v>
      </c>
      <c r="F1635">
        <v>0</v>
      </c>
      <c r="G1635">
        <v>823.35063000000002</v>
      </c>
      <c r="I1635">
        <f t="shared" si="100"/>
        <v>0.15419875865034546</v>
      </c>
      <c r="J1635">
        <f t="shared" si="101"/>
        <v>0</v>
      </c>
      <c r="K1635">
        <f t="shared" si="102"/>
        <v>0</v>
      </c>
      <c r="L1635">
        <f t="shared" si="103"/>
        <v>0</v>
      </c>
    </row>
    <row r="1636" spans="1:12" x14ac:dyDescent="0.35">
      <c r="A1636" s="1" t="s">
        <v>39</v>
      </c>
      <c r="B1636">
        <v>0.41782794400000001</v>
      </c>
      <c r="C1636">
        <v>2.3392E-3</v>
      </c>
      <c r="D1636">
        <v>0</v>
      </c>
      <c r="E1636">
        <v>0</v>
      </c>
      <c r="F1636">
        <v>0</v>
      </c>
      <c r="G1636">
        <v>823.76846</v>
      </c>
      <c r="I1636">
        <f t="shared" si="100"/>
        <v>0.11204704805350077</v>
      </c>
      <c r="J1636">
        <f t="shared" si="101"/>
        <v>0</v>
      </c>
      <c r="K1636">
        <f t="shared" si="102"/>
        <v>0</v>
      </c>
      <c r="L1636">
        <f t="shared" si="103"/>
        <v>0</v>
      </c>
    </row>
    <row r="1637" spans="1:12" x14ac:dyDescent="0.35">
      <c r="A1637" s="1" t="s">
        <v>79</v>
      </c>
      <c r="B1637">
        <v>0.21199999999999999</v>
      </c>
      <c r="C1637">
        <v>0</v>
      </c>
      <c r="D1637">
        <v>-2.53358734</v>
      </c>
      <c r="E1637">
        <v>0</v>
      </c>
      <c r="F1637">
        <v>0</v>
      </c>
      <c r="G1637">
        <v>824.02746000000002</v>
      </c>
      <c r="I1637">
        <f t="shared" si="100"/>
        <v>0</v>
      </c>
      <c r="J1637">
        <f t="shared" si="101"/>
        <v>-50.706825936458621</v>
      </c>
      <c r="K1637">
        <f t="shared" si="102"/>
        <v>0</v>
      </c>
      <c r="L1637">
        <f t="shared" si="103"/>
        <v>0</v>
      </c>
    </row>
    <row r="1638" spans="1:12" x14ac:dyDescent="0.35">
      <c r="A1638" s="1" t="s">
        <v>80</v>
      </c>
      <c r="B1638">
        <v>0.16600000000000001</v>
      </c>
      <c r="C1638">
        <v>0</v>
      </c>
      <c r="D1638">
        <v>0</v>
      </c>
      <c r="E1638">
        <v>-202.23429300000001</v>
      </c>
      <c r="F1638">
        <v>0</v>
      </c>
      <c r="G1638">
        <v>824.26846</v>
      </c>
      <c r="I1638">
        <f t="shared" si="100"/>
        <v>0</v>
      </c>
      <c r="J1638">
        <f t="shared" si="101"/>
        <v>0</v>
      </c>
      <c r="K1638">
        <f t="shared" si="102"/>
        <v>-4047.4859230760812</v>
      </c>
      <c r="L1638">
        <f t="shared" si="103"/>
        <v>0</v>
      </c>
    </row>
    <row r="1639" spans="1:12" x14ac:dyDescent="0.35">
      <c r="A1639" s="1" t="s">
        <v>81</v>
      </c>
      <c r="B1639">
        <v>0.09</v>
      </c>
      <c r="C1639">
        <v>0</v>
      </c>
      <c r="D1639">
        <v>0</v>
      </c>
      <c r="E1639">
        <v>0</v>
      </c>
      <c r="F1639">
        <v>-13632</v>
      </c>
      <c r="G1639">
        <v>824.80930999999998</v>
      </c>
      <c r="I1639">
        <f t="shared" si="100"/>
        <v>0</v>
      </c>
      <c r="J1639">
        <f t="shared" si="101"/>
        <v>0</v>
      </c>
      <c r="K1639">
        <f t="shared" si="102"/>
        <v>0</v>
      </c>
      <c r="L1639">
        <f t="shared" si="103"/>
        <v>-272828.74375501258</v>
      </c>
    </row>
    <row r="1640" spans="1:12" x14ac:dyDescent="0.35">
      <c r="A1640" s="1" t="s">
        <v>82</v>
      </c>
      <c r="B1640">
        <v>0.21199999999999999</v>
      </c>
      <c r="C1640">
        <v>0</v>
      </c>
      <c r="D1640">
        <v>2.47240752</v>
      </c>
      <c r="E1640">
        <v>0</v>
      </c>
      <c r="F1640">
        <v>0</v>
      </c>
      <c r="G1640">
        <v>825.08131000000003</v>
      </c>
      <c r="I1640">
        <f t="shared" si="100"/>
        <v>0</v>
      </c>
      <c r="J1640">
        <f t="shared" si="101"/>
        <v>49.48238246273813</v>
      </c>
      <c r="K1640">
        <f t="shared" si="102"/>
        <v>0</v>
      </c>
      <c r="L1640">
        <f t="shared" si="103"/>
        <v>0</v>
      </c>
    </row>
    <row r="1641" spans="1:12" x14ac:dyDescent="0.35">
      <c r="A1641" s="1" t="s">
        <v>83</v>
      </c>
      <c r="B1641">
        <v>0.1</v>
      </c>
      <c r="C1641">
        <v>0</v>
      </c>
      <c r="D1641">
        <v>0</v>
      </c>
      <c r="E1641">
        <v>172.62799999999999</v>
      </c>
      <c r="F1641">
        <v>0</v>
      </c>
      <c r="G1641">
        <v>825.25630999999998</v>
      </c>
      <c r="I1641">
        <f t="shared" si="100"/>
        <v>0</v>
      </c>
      <c r="J1641">
        <f t="shared" si="101"/>
        <v>0</v>
      </c>
      <c r="K1641">
        <f t="shared" si="102"/>
        <v>3454.9501450220296</v>
      </c>
      <c r="L1641">
        <f t="shared" si="103"/>
        <v>0</v>
      </c>
    </row>
    <row r="1642" spans="1:12" x14ac:dyDescent="0.35">
      <c r="A1642" s="1" t="s">
        <v>83</v>
      </c>
      <c r="B1642">
        <v>0.1</v>
      </c>
      <c r="C1642">
        <v>0</v>
      </c>
      <c r="D1642">
        <v>0</v>
      </c>
      <c r="E1642">
        <v>172.62799999999999</v>
      </c>
      <c r="F1642">
        <v>0</v>
      </c>
      <c r="G1642">
        <f>0.1+825.25631</f>
        <v>825.35631000000001</v>
      </c>
      <c r="I1642">
        <f t="shared" si="100"/>
        <v>0</v>
      </c>
      <c r="J1642">
        <f t="shared" si="101"/>
        <v>0</v>
      </c>
      <c r="K1642">
        <f t="shared" si="102"/>
        <v>3454.9501450220296</v>
      </c>
      <c r="L1642">
        <f t="shared" si="103"/>
        <v>0</v>
      </c>
    </row>
    <row r="1643" spans="1:12" x14ac:dyDescent="0.35">
      <c r="A1643" s="1" t="s">
        <v>84</v>
      </c>
      <c r="B1643">
        <v>0.21199999999999999</v>
      </c>
      <c r="C1643">
        <v>0</v>
      </c>
      <c r="D1643">
        <v>2.47240752</v>
      </c>
      <c r="E1643">
        <v>0</v>
      </c>
      <c r="F1643">
        <v>0</v>
      </c>
      <c r="G1643">
        <v>825.64331000000004</v>
      </c>
      <c r="I1643">
        <f t="shared" si="100"/>
        <v>0</v>
      </c>
      <c r="J1643">
        <f t="shared" si="101"/>
        <v>49.48238246273813</v>
      </c>
      <c r="K1643">
        <f t="shared" si="102"/>
        <v>0</v>
      </c>
      <c r="L1643">
        <f t="shared" si="103"/>
        <v>0</v>
      </c>
    </row>
    <row r="1644" spans="1:12" x14ac:dyDescent="0.35">
      <c r="A1644" s="1" t="s">
        <v>85</v>
      </c>
      <c r="B1644">
        <v>0.16600000000000001</v>
      </c>
      <c r="C1644">
        <v>0</v>
      </c>
      <c r="D1644">
        <v>0</v>
      </c>
      <c r="E1644">
        <v>-132.861086</v>
      </c>
      <c r="F1644">
        <v>0</v>
      </c>
      <c r="G1644">
        <v>826.41016999999999</v>
      </c>
      <c r="I1644">
        <f t="shared" si="100"/>
        <v>0</v>
      </c>
      <c r="J1644">
        <f t="shared" si="101"/>
        <v>0</v>
      </c>
      <c r="K1644">
        <f t="shared" si="102"/>
        <v>-2659.0612666744933</v>
      </c>
      <c r="L1644">
        <f t="shared" si="103"/>
        <v>0</v>
      </c>
    </row>
    <row r="1645" spans="1:12" x14ac:dyDescent="0.35">
      <c r="A1645" s="1" t="s">
        <v>86</v>
      </c>
      <c r="B1645">
        <v>0.21199999999999999</v>
      </c>
      <c r="C1645">
        <v>0</v>
      </c>
      <c r="D1645">
        <v>-2.3709669899999999</v>
      </c>
      <c r="E1645">
        <v>0</v>
      </c>
      <c r="F1645">
        <v>0</v>
      </c>
      <c r="G1645">
        <v>826.69717000000003</v>
      </c>
      <c r="I1645">
        <f t="shared" si="100"/>
        <v>0</v>
      </c>
      <c r="J1645">
        <f t="shared" si="101"/>
        <v>-47.452167353748784</v>
      </c>
      <c r="K1645">
        <f t="shared" si="102"/>
        <v>0</v>
      </c>
      <c r="L1645">
        <f t="shared" si="103"/>
        <v>0</v>
      </c>
    </row>
    <row r="1646" spans="1:12" x14ac:dyDescent="0.35">
      <c r="A1646" s="1" t="s">
        <v>48</v>
      </c>
      <c r="B1646">
        <v>0.41782794400000001</v>
      </c>
      <c r="C1646">
        <v>2.3392E-3</v>
      </c>
      <c r="D1646">
        <v>0</v>
      </c>
      <c r="E1646">
        <v>0</v>
      </c>
      <c r="F1646">
        <v>0</v>
      </c>
      <c r="G1646">
        <v>827.16198999999995</v>
      </c>
      <c r="I1646">
        <f t="shared" si="100"/>
        <v>0.11204704805350077</v>
      </c>
      <c r="J1646">
        <f t="shared" si="101"/>
        <v>0</v>
      </c>
      <c r="K1646">
        <f t="shared" si="102"/>
        <v>0</v>
      </c>
      <c r="L1646">
        <f t="shared" si="103"/>
        <v>0</v>
      </c>
    </row>
    <row r="1647" spans="1:12" x14ac:dyDescent="0.35">
      <c r="A1647" s="1" t="s">
        <v>49</v>
      </c>
      <c r="B1647">
        <v>0.41782808399999999</v>
      </c>
      <c r="C1647">
        <v>3.2192000000000002E-3</v>
      </c>
      <c r="D1647">
        <v>0</v>
      </c>
      <c r="E1647">
        <v>0</v>
      </c>
      <c r="F1647">
        <v>0</v>
      </c>
      <c r="G1647">
        <v>827.57982000000004</v>
      </c>
      <c r="I1647">
        <f t="shared" si="100"/>
        <v>0.15419875865034546</v>
      </c>
      <c r="J1647">
        <f t="shared" si="101"/>
        <v>0</v>
      </c>
      <c r="K1647">
        <f t="shared" si="102"/>
        <v>0</v>
      </c>
      <c r="L1647">
        <f t="shared" si="103"/>
        <v>0</v>
      </c>
    </row>
    <row r="1648" spans="1:12" x14ac:dyDescent="0.35">
      <c r="A1648" s="1" t="s">
        <v>50</v>
      </c>
      <c r="B1648">
        <v>0.41782827500000003</v>
      </c>
      <c r="C1648">
        <v>4.1392E-3</v>
      </c>
      <c r="D1648">
        <v>0</v>
      </c>
      <c r="E1648">
        <v>0</v>
      </c>
      <c r="F1648">
        <v>0</v>
      </c>
      <c r="G1648">
        <v>827.99765000000002</v>
      </c>
      <c r="I1648">
        <f t="shared" si="100"/>
        <v>0.19826640470947862</v>
      </c>
      <c r="J1648">
        <f t="shared" si="101"/>
        <v>0</v>
      </c>
      <c r="K1648">
        <f t="shared" si="102"/>
        <v>0</v>
      </c>
      <c r="L1648">
        <f t="shared" si="103"/>
        <v>0</v>
      </c>
    </row>
    <row r="1649" spans="1:12" x14ac:dyDescent="0.35">
      <c r="A1649" s="1" t="s">
        <v>51</v>
      </c>
      <c r="B1649">
        <v>0.41782864199999997</v>
      </c>
      <c r="C1649">
        <v>5.4992000000000001E-3</v>
      </c>
      <c r="D1649">
        <v>0</v>
      </c>
      <c r="E1649">
        <v>0</v>
      </c>
      <c r="F1649">
        <v>0</v>
      </c>
      <c r="G1649">
        <v>828.41548</v>
      </c>
      <c r="I1649">
        <f t="shared" si="100"/>
        <v>0.26340975432619773</v>
      </c>
      <c r="J1649">
        <f t="shared" si="101"/>
        <v>0</v>
      </c>
      <c r="K1649">
        <f t="shared" si="102"/>
        <v>0</v>
      </c>
      <c r="L1649">
        <f t="shared" si="103"/>
        <v>0</v>
      </c>
    </row>
    <row r="1650" spans="1:12" x14ac:dyDescent="0.35">
      <c r="A1650" s="1" t="s">
        <v>52</v>
      </c>
      <c r="B1650">
        <v>0.41783028900000002</v>
      </c>
      <c r="C1650">
        <v>9.4690999999999994E-3</v>
      </c>
      <c r="D1650">
        <v>0</v>
      </c>
      <c r="E1650">
        <v>0</v>
      </c>
      <c r="F1650">
        <v>0</v>
      </c>
      <c r="G1650">
        <v>828.83330999999998</v>
      </c>
      <c r="I1650">
        <f t="shared" si="100"/>
        <v>0.45356478630764774</v>
      </c>
      <c r="J1650">
        <f t="shared" si="101"/>
        <v>0</v>
      </c>
      <c r="K1650">
        <f t="shared" si="102"/>
        <v>0</v>
      </c>
      <c r="L1650">
        <f t="shared" si="103"/>
        <v>0</v>
      </c>
    </row>
    <row r="1651" spans="1:12" x14ac:dyDescent="0.35">
      <c r="A1651" s="1" t="s">
        <v>87</v>
      </c>
      <c r="B1651">
        <v>0.16200000000000001</v>
      </c>
      <c r="C1651">
        <v>0</v>
      </c>
      <c r="D1651">
        <v>-2.8698264299999998</v>
      </c>
      <c r="E1651">
        <v>0</v>
      </c>
      <c r="F1651">
        <v>0</v>
      </c>
      <c r="G1651">
        <v>829.04231000000004</v>
      </c>
      <c r="I1651">
        <f t="shared" si="100"/>
        <v>0</v>
      </c>
      <c r="J1651">
        <f t="shared" si="101"/>
        <v>-57.436263181619168</v>
      </c>
      <c r="K1651">
        <f t="shared" si="102"/>
        <v>0</v>
      </c>
      <c r="L1651">
        <f t="shared" si="103"/>
        <v>0</v>
      </c>
    </row>
    <row r="1652" spans="1:12" x14ac:dyDescent="0.35">
      <c r="A1652" s="1" t="s">
        <v>54</v>
      </c>
      <c r="B1652">
        <v>0.1</v>
      </c>
      <c r="C1652">
        <v>0</v>
      </c>
      <c r="D1652">
        <v>0</v>
      </c>
      <c r="E1652">
        <v>0</v>
      </c>
      <c r="F1652">
        <v>0</v>
      </c>
      <c r="G1652">
        <v>829.37230999999997</v>
      </c>
      <c r="I1652">
        <f t="shared" si="100"/>
        <v>0</v>
      </c>
      <c r="J1652">
        <f t="shared" si="101"/>
        <v>0</v>
      </c>
      <c r="K1652">
        <f t="shared" si="102"/>
        <v>0</v>
      </c>
      <c r="L1652">
        <f t="shared" si="103"/>
        <v>0</v>
      </c>
    </row>
    <row r="1653" spans="1:12" x14ac:dyDescent="0.35">
      <c r="A1653" s="1" t="s">
        <v>88</v>
      </c>
      <c r="B1653">
        <v>0.29499999999999998</v>
      </c>
      <c r="C1653">
        <v>0</v>
      </c>
      <c r="D1653">
        <v>2.43875777</v>
      </c>
      <c r="E1653">
        <v>0</v>
      </c>
      <c r="F1653">
        <v>0</v>
      </c>
      <c r="G1653">
        <v>829.77731000000006</v>
      </c>
      <c r="I1653">
        <f t="shared" si="100"/>
        <v>0</v>
      </c>
      <c r="J1653">
        <f t="shared" si="101"/>
        <v>48.808921560436907</v>
      </c>
      <c r="K1653">
        <f t="shared" si="102"/>
        <v>0</v>
      </c>
      <c r="L1653">
        <f t="shared" si="103"/>
        <v>0</v>
      </c>
    </row>
    <row r="1654" spans="1:12" x14ac:dyDescent="0.35">
      <c r="A1654" s="1" t="s">
        <v>56</v>
      </c>
      <c r="B1654">
        <v>0.29499999999999998</v>
      </c>
      <c r="C1654">
        <v>0</v>
      </c>
      <c r="D1654">
        <v>2.43875777</v>
      </c>
      <c r="E1654">
        <v>0</v>
      </c>
      <c r="F1654">
        <v>0</v>
      </c>
      <c r="G1654">
        <v>835.65045999999995</v>
      </c>
      <c r="I1654">
        <f t="shared" si="100"/>
        <v>0</v>
      </c>
      <c r="J1654">
        <f t="shared" si="101"/>
        <v>48.808921560436907</v>
      </c>
      <c r="K1654">
        <f t="shared" si="102"/>
        <v>0</v>
      </c>
      <c r="L1654">
        <f t="shared" si="103"/>
        <v>0</v>
      </c>
    </row>
    <row r="1655" spans="1:12" x14ac:dyDescent="0.35">
      <c r="A1655" s="1" t="s">
        <v>2</v>
      </c>
      <c r="B1655">
        <v>0.1</v>
      </c>
      <c r="C1655">
        <v>0</v>
      </c>
      <c r="D1655">
        <v>0</v>
      </c>
      <c r="E1655">
        <v>0</v>
      </c>
      <c r="F1655">
        <v>0</v>
      </c>
      <c r="G1655">
        <v>835.86045999999999</v>
      </c>
      <c r="I1655">
        <f t="shared" si="100"/>
        <v>0</v>
      </c>
      <c r="J1655">
        <f t="shared" si="101"/>
        <v>0</v>
      </c>
      <c r="K1655">
        <f t="shared" si="102"/>
        <v>0</v>
      </c>
      <c r="L1655">
        <f t="shared" si="103"/>
        <v>0</v>
      </c>
    </row>
    <row r="1656" spans="1:12" x14ac:dyDescent="0.35">
      <c r="A1656" s="1" t="s">
        <v>57</v>
      </c>
      <c r="B1656">
        <v>0.16200000000000001</v>
      </c>
      <c r="C1656">
        <v>0</v>
      </c>
      <c r="D1656">
        <v>-2.8698264299999998</v>
      </c>
      <c r="E1656">
        <v>0</v>
      </c>
      <c r="F1656">
        <v>0</v>
      </c>
      <c r="G1656">
        <v>836.25246000000004</v>
      </c>
      <c r="I1656">
        <f t="shared" si="100"/>
        <v>0</v>
      </c>
      <c r="J1656">
        <f t="shared" si="101"/>
        <v>-57.436263181619168</v>
      </c>
      <c r="K1656">
        <f t="shared" si="102"/>
        <v>0</v>
      </c>
      <c r="L1656">
        <f t="shared" si="103"/>
        <v>0</v>
      </c>
    </row>
    <row r="1657" spans="1:12" x14ac:dyDescent="0.35">
      <c r="A1657" s="1" t="s">
        <v>58</v>
      </c>
      <c r="B1657">
        <v>0.41783028900000002</v>
      </c>
      <c r="C1657">
        <v>9.4690999999999994E-3</v>
      </c>
      <c r="D1657">
        <v>0</v>
      </c>
      <c r="E1657">
        <v>0</v>
      </c>
      <c r="F1657">
        <v>0</v>
      </c>
      <c r="G1657">
        <v>836.71729000000005</v>
      </c>
      <c r="I1657">
        <f t="shared" si="100"/>
        <v>0.45356478630764774</v>
      </c>
      <c r="J1657">
        <f t="shared" si="101"/>
        <v>0</v>
      </c>
      <c r="K1657">
        <f t="shared" si="102"/>
        <v>0</v>
      </c>
      <c r="L1657">
        <f t="shared" si="103"/>
        <v>0</v>
      </c>
    </row>
    <row r="1658" spans="1:12" x14ac:dyDescent="0.35">
      <c r="A1658" s="1" t="s">
        <v>59</v>
      </c>
      <c r="B1658">
        <v>0.41782864199999997</v>
      </c>
      <c r="C1658">
        <v>5.4992000000000001E-3</v>
      </c>
      <c r="D1658">
        <v>0</v>
      </c>
      <c r="E1658">
        <v>0</v>
      </c>
      <c r="F1658">
        <v>0</v>
      </c>
      <c r="G1658">
        <v>837.13512000000003</v>
      </c>
      <c r="I1658">
        <f t="shared" si="100"/>
        <v>0.26340975432619773</v>
      </c>
      <c r="J1658">
        <f t="shared" si="101"/>
        <v>0</v>
      </c>
      <c r="K1658">
        <f t="shared" si="102"/>
        <v>0</v>
      </c>
      <c r="L1658">
        <f t="shared" si="103"/>
        <v>0</v>
      </c>
    </row>
    <row r="1659" spans="1:12" x14ac:dyDescent="0.35">
      <c r="A1659" s="1" t="s">
        <v>60</v>
      </c>
      <c r="B1659">
        <v>0.41782827500000003</v>
      </c>
      <c r="C1659">
        <v>4.1392E-3</v>
      </c>
      <c r="D1659">
        <v>0</v>
      </c>
      <c r="E1659">
        <v>0</v>
      </c>
      <c r="F1659">
        <v>0</v>
      </c>
      <c r="G1659">
        <v>837.55295000000001</v>
      </c>
      <c r="I1659">
        <f t="shared" si="100"/>
        <v>0.19826640470947862</v>
      </c>
      <c r="J1659">
        <f t="shared" si="101"/>
        <v>0</v>
      </c>
      <c r="K1659">
        <f t="shared" si="102"/>
        <v>0</v>
      </c>
      <c r="L1659">
        <f t="shared" si="103"/>
        <v>0</v>
      </c>
    </row>
    <row r="1660" spans="1:12" x14ac:dyDescent="0.35">
      <c r="A1660" s="1" t="s">
        <v>61</v>
      </c>
      <c r="B1660">
        <v>0.41782808399999999</v>
      </c>
      <c r="C1660">
        <v>3.2192000000000002E-3</v>
      </c>
      <c r="D1660">
        <v>0</v>
      </c>
      <c r="E1660">
        <v>0</v>
      </c>
      <c r="F1660">
        <v>0</v>
      </c>
      <c r="G1660">
        <v>837.97077999999999</v>
      </c>
      <c r="I1660">
        <f t="shared" si="100"/>
        <v>0.15419875865034546</v>
      </c>
      <c r="J1660">
        <f t="shared" si="101"/>
        <v>0</v>
      </c>
      <c r="K1660">
        <f t="shared" si="102"/>
        <v>0</v>
      </c>
      <c r="L1660">
        <f t="shared" si="103"/>
        <v>0</v>
      </c>
    </row>
    <row r="1661" spans="1:12" x14ac:dyDescent="0.35">
      <c r="A1661" s="1" t="s">
        <v>62</v>
      </c>
      <c r="B1661">
        <v>0.41782794400000001</v>
      </c>
      <c r="C1661">
        <v>2.3392E-3</v>
      </c>
      <c r="D1661">
        <v>0</v>
      </c>
      <c r="E1661">
        <v>0</v>
      </c>
      <c r="F1661">
        <v>0</v>
      </c>
      <c r="G1661">
        <v>838.38860999999997</v>
      </c>
      <c r="I1661">
        <f t="shared" si="100"/>
        <v>0.11204704805350077</v>
      </c>
      <c r="J1661">
        <f t="shared" si="101"/>
        <v>0</v>
      </c>
      <c r="K1661">
        <f t="shared" si="102"/>
        <v>0</v>
      </c>
      <c r="L1661">
        <f t="shared" si="103"/>
        <v>0</v>
      </c>
    </row>
    <row r="1662" spans="1:12" x14ac:dyDescent="0.35">
      <c r="A1662" s="1" t="s">
        <v>63</v>
      </c>
      <c r="B1662">
        <v>0.21199999999999999</v>
      </c>
      <c r="C1662">
        <v>0</v>
      </c>
      <c r="D1662">
        <v>-2.3709669899999999</v>
      </c>
      <c r="E1662">
        <v>0</v>
      </c>
      <c r="F1662">
        <v>0</v>
      </c>
      <c r="G1662">
        <v>838.64760999999999</v>
      </c>
      <c r="I1662">
        <f t="shared" si="100"/>
        <v>0</v>
      </c>
      <c r="J1662">
        <f t="shared" si="101"/>
        <v>-47.452167353748784</v>
      </c>
      <c r="K1662">
        <f t="shared" si="102"/>
        <v>0</v>
      </c>
      <c r="L1662">
        <f t="shared" si="103"/>
        <v>0</v>
      </c>
    </row>
    <row r="1663" spans="1:12" x14ac:dyDescent="0.35">
      <c r="A1663" s="1" t="s">
        <v>64</v>
      </c>
      <c r="B1663">
        <v>0.16600000000000001</v>
      </c>
      <c r="C1663">
        <v>0</v>
      </c>
      <c r="D1663">
        <v>0</v>
      </c>
      <c r="E1663">
        <v>-132.861086</v>
      </c>
      <c r="F1663">
        <v>0</v>
      </c>
      <c r="G1663">
        <v>838.88860999999997</v>
      </c>
      <c r="I1663">
        <f t="shared" si="100"/>
        <v>0</v>
      </c>
      <c r="J1663">
        <f t="shared" si="101"/>
        <v>0</v>
      </c>
      <c r="K1663">
        <f t="shared" si="102"/>
        <v>-2659.0612666744933</v>
      </c>
      <c r="L1663">
        <f t="shared" si="103"/>
        <v>0</v>
      </c>
    </row>
    <row r="1664" spans="1:12" x14ac:dyDescent="0.35">
      <c r="A1664" s="1" t="s">
        <v>65</v>
      </c>
      <c r="B1664">
        <v>0.21199999999999999</v>
      </c>
      <c r="C1664">
        <v>0</v>
      </c>
      <c r="D1664">
        <v>2.47240752</v>
      </c>
      <c r="E1664">
        <v>0</v>
      </c>
      <c r="F1664">
        <v>0</v>
      </c>
      <c r="G1664">
        <v>839.70146</v>
      </c>
      <c r="I1664">
        <f t="shared" si="100"/>
        <v>0</v>
      </c>
      <c r="J1664">
        <f t="shared" si="101"/>
        <v>49.48238246273813</v>
      </c>
      <c r="K1664">
        <f t="shared" si="102"/>
        <v>0</v>
      </c>
      <c r="L1664">
        <f t="shared" si="103"/>
        <v>0</v>
      </c>
    </row>
    <row r="1665" spans="1:12" x14ac:dyDescent="0.35">
      <c r="A1665" s="1" t="s">
        <v>66</v>
      </c>
      <c r="B1665">
        <v>0.1</v>
      </c>
      <c r="C1665">
        <v>0</v>
      </c>
      <c r="D1665">
        <v>0</v>
      </c>
      <c r="E1665">
        <v>172.62799999999999</v>
      </c>
      <c r="F1665">
        <v>0</v>
      </c>
      <c r="G1665">
        <v>839.87645999999995</v>
      </c>
      <c r="I1665">
        <f t="shared" si="100"/>
        <v>0</v>
      </c>
      <c r="J1665">
        <f t="shared" si="101"/>
        <v>0</v>
      </c>
      <c r="K1665">
        <f t="shared" si="102"/>
        <v>3454.9501450220296</v>
      </c>
      <c r="L1665">
        <f t="shared" si="103"/>
        <v>0</v>
      </c>
    </row>
    <row r="1666" spans="1:12" x14ac:dyDescent="0.35">
      <c r="A1666" s="1" t="s">
        <v>66</v>
      </c>
      <c r="B1666">
        <v>0.1</v>
      </c>
      <c r="C1666">
        <v>0</v>
      </c>
      <c r="D1666">
        <v>0</v>
      </c>
      <c r="E1666">
        <v>172.62799999999999</v>
      </c>
      <c r="F1666">
        <v>0</v>
      </c>
      <c r="G1666">
        <f>839.87646+0.1</f>
        <v>839.97645999999997</v>
      </c>
      <c r="I1666">
        <f t="shared" si="100"/>
        <v>0</v>
      </c>
      <c r="J1666">
        <f t="shared" si="101"/>
        <v>0</v>
      </c>
      <c r="K1666">
        <f t="shared" si="102"/>
        <v>3454.9501450220296</v>
      </c>
      <c r="L1666">
        <f t="shared" si="103"/>
        <v>0</v>
      </c>
    </row>
    <row r="1667" spans="1:12" x14ac:dyDescent="0.35">
      <c r="A1667" s="1" t="s">
        <v>67</v>
      </c>
      <c r="B1667">
        <v>0.21199999999999999</v>
      </c>
      <c r="C1667">
        <v>0</v>
      </c>
      <c r="D1667">
        <v>2.47240752</v>
      </c>
      <c r="E1667">
        <v>0</v>
      </c>
      <c r="F1667">
        <v>0</v>
      </c>
      <c r="G1667">
        <v>840.26346000000001</v>
      </c>
      <c r="I1667">
        <f t="shared" si="100"/>
        <v>0</v>
      </c>
      <c r="J1667">
        <f t="shared" si="101"/>
        <v>49.48238246273813</v>
      </c>
      <c r="K1667">
        <f t="shared" si="102"/>
        <v>0</v>
      </c>
      <c r="L1667">
        <f t="shared" si="103"/>
        <v>0</v>
      </c>
    </row>
    <row r="1668" spans="1:12" x14ac:dyDescent="0.35">
      <c r="A1668" s="1" t="s">
        <v>68</v>
      </c>
      <c r="B1668">
        <v>0.09</v>
      </c>
      <c r="C1668">
        <v>0</v>
      </c>
      <c r="D1668">
        <v>0</v>
      </c>
      <c r="E1668">
        <v>0</v>
      </c>
      <c r="F1668">
        <v>-13632</v>
      </c>
      <c r="G1668">
        <v>840.41345999999999</v>
      </c>
      <c r="I1668">
        <f t="shared" ref="I1668:I1731" si="104">$H$2*$C1668/$B1668</f>
        <v>0</v>
      </c>
      <c r="J1668">
        <f t="shared" ref="J1668:J1731" si="105">$H$2*$D1668</f>
        <v>0</v>
      </c>
      <c r="K1668">
        <f t="shared" ref="K1668:K1731" si="106">$H$2*$E1668</f>
        <v>0</v>
      </c>
      <c r="L1668">
        <f t="shared" ref="L1668:L1731" si="107">$H$2*$F1668</f>
        <v>-272828.74375501258</v>
      </c>
    </row>
    <row r="1669" spans="1:12" x14ac:dyDescent="0.35">
      <c r="A1669" s="1" t="s">
        <v>69</v>
      </c>
      <c r="B1669">
        <v>0.16600000000000001</v>
      </c>
      <c r="C1669">
        <v>0</v>
      </c>
      <c r="D1669">
        <v>0</v>
      </c>
      <c r="E1669">
        <v>-202.23429300000001</v>
      </c>
      <c r="F1669">
        <v>0</v>
      </c>
      <c r="G1669">
        <v>841.03030999999999</v>
      </c>
      <c r="I1669">
        <f t="shared" si="104"/>
        <v>0</v>
      </c>
      <c r="J1669">
        <f t="shared" si="105"/>
        <v>0</v>
      </c>
      <c r="K1669">
        <f t="shared" si="106"/>
        <v>-4047.4859230760812</v>
      </c>
      <c r="L1669">
        <f t="shared" si="107"/>
        <v>0</v>
      </c>
    </row>
    <row r="1670" spans="1:12" x14ac:dyDescent="0.35">
      <c r="A1670" s="1" t="s">
        <v>70</v>
      </c>
      <c r="B1670">
        <v>0.21199999999999999</v>
      </c>
      <c r="C1670">
        <v>0</v>
      </c>
      <c r="D1670">
        <v>-2.53358734</v>
      </c>
      <c r="E1670">
        <v>0</v>
      </c>
      <c r="F1670">
        <v>0</v>
      </c>
      <c r="G1670">
        <v>841.31731000000002</v>
      </c>
      <c r="I1670">
        <f t="shared" si="104"/>
        <v>0</v>
      </c>
      <c r="J1670">
        <f t="shared" si="105"/>
        <v>-50.706825936458621</v>
      </c>
      <c r="K1670">
        <f t="shared" si="106"/>
        <v>0</v>
      </c>
      <c r="L1670">
        <f t="shared" si="107"/>
        <v>0</v>
      </c>
    </row>
    <row r="1671" spans="1:12" x14ac:dyDescent="0.35">
      <c r="A1671" s="1" t="s">
        <v>20</v>
      </c>
      <c r="B1671">
        <v>0.41782794400000001</v>
      </c>
      <c r="C1671">
        <v>2.3392E-3</v>
      </c>
      <c r="D1671">
        <v>0</v>
      </c>
      <c r="E1671">
        <v>0</v>
      </c>
      <c r="F1671">
        <v>0</v>
      </c>
      <c r="G1671">
        <v>841.78214000000003</v>
      </c>
      <c r="I1671">
        <f t="shared" si="104"/>
        <v>0.11204704805350077</v>
      </c>
      <c r="J1671">
        <f t="shared" si="105"/>
        <v>0</v>
      </c>
      <c r="K1671">
        <f t="shared" si="106"/>
        <v>0</v>
      </c>
      <c r="L1671">
        <f t="shared" si="107"/>
        <v>0</v>
      </c>
    </row>
    <row r="1672" spans="1:12" x14ac:dyDescent="0.35">
      <c r="A1672" s="1" t="s">
        <v>21</v>
      </c>
      <c r="B1672">
        <v>0.41782808399999999</v>
      </c>
      <c r="C1672">
        <v>3.2192000000000002E-3</v>
      </c>
      <c r="D1672">
        <v>0</v>
      </c>
      <c r="E1672">
        <v>0</v>
      </c>
      <c r="F1672">
        <v>0</v>
      </c>
      <c r="G1672">
        <v>842.19997000000001</v>
      </c>
      <c r="I1672">
        <f t="shared" si="104"/>
        <v>0.15419875865034546</v>
      </c>
      <c r="J1672">
        <f t="shared" si="105"/>
        <v>0</v>
      </c>
      <c r="K1672">
        <f t="shared" si="106"/>
        <v>0</v>
      </c>
      <c r="L1672">
        <f t="shared" si="107"/>
        <v>0</v>
      </c>
    </row>
    <row r="1673" spans="1:12" x14ac:dyDescent="0.35">
      <c r="A1673" s="1" t="s">
        <v>22</v>
      </c>
      <c r="B1673">
        <v>0.41782827500000003</v>
      </c>
      <c r="C1673">
        <v>4.1392E-3</v>
      </c>
      <c r="D1673">
        <v>0</v>
      </c>
      <c r="E1673">
        <v>0</v>
      </c>
      <c r="F1673">
        <v>0</v>
      </c>
      <c r="G1673">
        <v>842.61779999999999</v>
      </c>
      <c r="I1673">
        <f t="shared" si="104"/>
        <v>0.19826640470947862</v>
      </c>
      <c r="J1673">
        <f t="shared" si="105"/>
        <v>0</v>
      </c>
      <c r="K1673">
        <f t="shared" si="106"/>
        <v>0</v>
      </c>
      <c r="L1673">
        <f t="shared" si="107"/>
        <v>0</v>
      </c>
    </row>
    <row r="1674" spans="1:12" x14ac:dyDescent="0.35">
      <c r="A1674" s="1" t="s">
        <v>23</v>
      </c>
      <c r="B1674">
        <v>0.41782864199999997</v>
      </c>
      <c r="C1674">
        <v>5.4992000000000001E-3</v>
      </c>
      <c r="D1674">
        <v>0</v>
      </c>
      <c r="E1674">
        <v>0</v>
      </c>
      <c r="F1674">
        <v>0</v>
      </c>
      <c r="G1674">
        <v>843.03562999999997</v>
      </c>
      <c r="I1674">
        <f t="shared" si="104"/>
        <v>0.26340975432619773</v>
      </c>
      <c r="J1674">
        <f t="shared" si="105"/>
        <v>0</v>
      </c>
      <c r="K1674">
        <f t="shared" si="106"/>
        <v>0</v>
      </c>
      <c r="L1674">
        <f t="shared" si="107"/>
        <v>0</v>
      </c>
    </row>
    <row r="1675" spans="1:12" x14ac:dyDescent="0.35">
      <c r="A1675" s="1" t="s">
        <v>24</v>
      </c>
      <c r="B1675">
        <v>0.41782941899999998</v>
      </c>
      <c r="C1675">
        <v>7.6290999999999998E-3</v>
      </c>
      <c r="D1675">
        <v>0</v>
      </c>
      <c r="E1675">
        <v>0</v>
      </c>
      <c r="F1675">
        <v>0</v>
      </c>
      <c r="G1675">
        <v>843.45345999999995</v>
      </c>
      <c r="I1675">
        <f t="shared" si="104"/>
        <v>0.36543053893202671</v>
      </c>
      <c r="J1675">
        <f t="shared" si="105"/>
        <v>0</v>
      </c>
      <c r="K1675">
        <f t="shared" si="106"/>
        <v>0</v>
      </c>
      <c r="L1675">
        <f t="shared" si="107"/>
        <v>0</v>
      </c>
    </row>
    <row r="1676" spans="1:12" x14ac:dyDescent="0.35">
      <c r="A1676" s="1" t="s">
        <v>71</v>
      </c>
      <c r="B1676">
        <v>0.3745</v>
      </c>
      <c r="C1676">
        <v>0</v>
      </c>
      <c r="D1676">
        <v>4.5116622</v>
      </c>
      <c r="E1676">
        <v>0</v>
      </c>
      <c r="F1676">
        <v>0</v>
      </c>
      <c r="G1676">
        <v>843.97796000000005</v>
      </c>
      <c r="I1676">
        <f t="shared" si="104"/>
        <v>0</v>
      </c>
      <c r="J1676">
        <f t="shared" si="105"/>
        <v>90.29571084748946</v>
      </c>
      <c r="K1676">
        <f t="shared" si="106"/>
        <v>0</v>
      </c>
      <c r="L1676">
        <f t="shared" si="107"/>
        <v>0</v>
      </c>
    </row>
    <row r="1677" spans="1:12" x14ac:dyDescent="0.35">
      <c r="A1677" s="1" t="s">
        <v>72</v>
      </c>
      <c r="B1677">
        <v>1.0280365199999999</v>
      </c>
      <c r="C1677">
        <v>2.4767999999999998E-2</v>
      </c>
      <c r="D1677">
        <v>-1.929</v>
      </c>
      <c r="E1677">
        <v>0</v>
      </c>
      <c r="F1677">
        <v>0</v>
      </c>
      <c r="G1677">
        <v>845.09599000000003</v>
      </c>
      <c r="I1677">
        <f t="shared" si="104"/>
        <v>0.48218416286837618</v>
      </c>
      <c r="J1677">
        <f t="shared" si="105"/>
        <v>-38.606708238220314</v>
      </c>
      <c r="K1677">
        <f t="shared" si="106"/>
        <v>0</v>
      </c>
      <c r="L1677">
        <f t="shared" si="107"/>
        <v>0</v>
      </c>
    </row>
    <row r="1678" spans="1:12" x14ac:dyDescent="0.35">
      <c r="A1678" s="1" t="s">
        <v>73</v>
      </c>
      <c r="B1678">
        <v>0.4975</v>
      </c>
      <c r="C1678">
        <v>0</v>
      </c>
      <c r="D1678">
        <v>4.61414189</v>
      </c>
      <c r="E1678">
        <v>0</v>
      </c>
      <c r="F1678">
        <v>0</v>
      </c>
      <c r="G1678">
        <v>845.68349000000001</v>
      </c>
      <c r="I1678">
        <f t="shared" si="104"/>
        <v>0</v>
      </c>
      <c r="J1678">
        <f t="shared" si="105"/>
        <v>92.346723544313335</v>
      </c>
      <c r="K1678">
        <f t="shared" si="106"/>
        <v>0</v>
      </c>
      <c r="L1678">
        <f t="shared" si="107"/>
        <v>0</v>
      </c>
    </row>
    <row r="1679" spans="1:12" x14ac:dyDescent="0.35">
      <c r="A1679" s="1" t="s">
        <v>28</v>
      </c>
      <c r="B1679">
        <v>0.1</v>
      </c>
      <c r="C1679">
        <v>0</v>
      </c>
      <c r="D1679">
        <v>0</v>
      </c>
      <c r="E1679">
        <v>0</v>
      </c>
      <c r="F1679">
        <v>0</v>
      </c>
      <c r="G1679">
        <v>845.85455999999999</v>
      </c>
      <c r="I1679">
        <f t="shared" si="104"/>
        <v>0</v>
      </c>
      <c r="J1679">
        <f t="shared" si="105"/>
        <v>0</v>
      </c>
      <c r="K1679">
        <f t="shared" si="106"/>
        <v>0</v>
      </c>
      <c r="L1679">
        <f t="shared" si="107"/>
        <v>0</v>
      </c>
    </row>
    <row r="1680" spans="1:12" x14ac:dyDescent="0.35">
      <c r="A1680" s="1" t="s">
        <v>74</v>
      </c>
      <c r="B1680">
        <v>0.40000102700000001</v>
      </c>
      <c r="C1680">
        <v>5.2300999999999997E-3</v>
      </c>
      <c r="D1680">
        <v>-1.5815999999999999</v>
      </c>
      <c r="E1680">
        <v>0</v>
      </c>
      <c r="F1680">
        <v>0</v>
      </c>
      <c r="G1680">
        <v>846.34756000000004</v>
      </c>
      <c r="I1680">
        <f t="shared" si="104"/>
        <v>0.26168536331815889</v>
      </c>
      <c r="J1680">
        <f t="shared" si="105"/>
        <v>-31.653898263125576</v>
      </c>
      <c r="K1680">
        <f t="shared" si="106"/>
        <v>0</v>
      </c>
      <c r="L1680">
        <f t="shared" si="107"/>
        <v>0</v>
      </c>
    </row>
    <row r="1681" spans="1:12" x14ac:dyDescent="0.35">
      <c r="A1681" s="1" t="s">
        <v>30</v>
      </c>
      <c r="B1681">
        <v>2.44294E-2</v>
      </c>
      <c r="C1681">
        <v>1.0499000000000001E-3</v>
      </c>
      <c r="D1681">
        <v>0</v>
      </c>
      <c r="E1681">
        <v>0</v>
      </c>
      <c r="F1681">
        <v>0</v>
      </c>
      <c r="G1681">
        <v>846.44249000000002</v>
      </c>
      <c r="I1681">
        <f t="shared" si="104"/>
        <v>0.8601331402616047</v>
      </c>
      <c r="J1681">
        <f t="shared" si="105"/>
        <v>0</v>
      </c>
      <c r="K1681">
        <f t="shared" si="106"/>
        <v>0</v>
      </c>
      <c r="L1681">
        <f t="shared" si="107"/>
        <v>0</v>
      </c>
    </row>
    <row r="1682" spans="1:12" x14ac:dyDescent="0.35">
      <c r="A1682" s="1" t="s">
        <v>30</v>
      </c>
      <c r="B1682">
        <v>2.44294E-2</v>
      </c>
      <c r="C1682">
        <v>1.0499000000000001E-3</v>
      </c>
      <c r="D1682">
        <v>0</v>
      </c>
      <c r="E1682">
        <v>0</v>
      </c>
      <c r="F1682">
        <v>0</v>
      </c>
      <c r="G1682">
        <f>846.44249+0.0244294</f>
        <v>846.46691940000005</v>
      </c>
      <c r="I1682">
        <f t="shared" si="104"/>
        <v>0.8601331402616047</v>
      </c>
      <c r="J1682">
        <f t="shared" si="105"/>
        <v>0</v>
      </c>
      <c r="K1682">
        <f t="shared" si="106"/>
        <v>0</v>
      </c>
      <c r="L1682">
        <f t="shared" si="107"/>
        <v>0</v>
      </c>
    </row>
    <row r="1683" spans="1:12" x14ac:dyDescent="0.35">
      <c r="A1683" s="1" t="s">
        <v>75</v>
      </c>
      <c r="B1683">
        <v>0.40000102700000001</v>
      </c>
      <c r="C1683">
        <v>5.2300999999999997E-3</v>
      </c>
      <c r="D1683">
        <v>-1.5815999999999999</v>
      </c>
      <c r="E1683">
        <v>0</v>
      </c>
      <c r="F1683">
        <v>0</v>
      </c>
      <c r="G1683">
        <v>846.93741999999997</v>
      </c>
      <c r="I1683">
        <f t="shared" si="104"/>
        <v>0.26168536331815889</v>
      </c>
      <c r="J1683">
        <f t="shared" si="105"/>
        <v>-31.653898263125576</v>
      </c>
      <c r="K1683">
        <f t="shared" si="106"/>
        <v>0</v>
      </c>
      <c r="L1683">
        <f t="shared" si="107"/>
        <v>0</v>
      </c>
    </row>
    <row r="1684" spans="1:12" x14ac:dyDescent="0.35">
      <c r="A1684" s="1" t="s">
        <v>76</v>
      </c>
      <c r="B1684">
        <v>0.4975</v>
      </c>
      <c r="C1684">
        <v>0</v>
      </c>
      <c r="D1684">
        <v>4.61414189</v>
      </c>
      <c r="E1684">
        <v>0</v>
      </c>
      <c r="F1684">
        <v>0</v>
      </c>
      <c r="G1684">
        <v>847.69898999999998</v>
      </c>
      <c r="I1684">
        <f t="shared" si="104"/>
        <v>0</v>
      </c>
      <c r="J1684">
        <f t="shared" si="105"/>
        <v>92.346723544313335</v>
      </c>
      <c r="K1684">
        <f t="shared" si="106"/>
        <v>0</v>
      </c>
      <c r="L1684">
        <f t="shared" si="107"/>
        <v>0</v>
      </c>
    </row>
    <row r="1685" spans="1:12" x14ac:dyDescent="0.35">
      <c r="A1685" s="1" t="s">
        <v>77</v>
      </c>
      <c r="B1685">
        <v>1.0280365199999999</v>
      </c>
      <c r="C1685">
        <v>2.4767999999999998E-2</v>
      </c>
      <c r="D1685">
        <v>-1.929</v>
      </c>
      <c r="E1685">
        <v>0</v>
      </c>
      <c r="F1685">
        <v>0</v>
      </c>
      <c r="G1685">
        <v>848.81703000000005</v>
      </c>
      <c r="I1685">
        <f t="shared" si="104"/>
        <v>0.48218416286837618</v>
      </c>
      <c r="J1685">
        <f t="shared" si="105"/>
        <v>-38.606708238220314</v>
      </c>
      <c r="K1685">
        <f t="shared" si="106"/>
        <v>0</v>
      </c>
      <c r="L1685">
        <f t="shared" si="107"/>
        <v>0</v>
      </c>
    </row>
    <row r="1686" spans="1:12" x14ac:dyDescent="0.35">
      <c r="A1686" s="1" t="s">
        <v>78</v>
      </c>
      <c r="B1686">
        <v>0.3745</v>
      </c>
      <c r="C1686">
        <v>0</v>
      </c>
      <c r="D1686">
        <v>4.5116622</v>
      </c>
      <c r="E1686">
        <v>0</v>
      </c>
      <c r="F1686">
        <v>0</v>
      </c>
      <c r="G1686">
        <v>849.28152999999998</v>
      </c>
      <c r="I1686">
        <f t="shared" si="104"/>
        <v>0</v>
      </c>
      <c r="J1686">
        <f t="shared" si="105"/>
        <v>90.29571084748946</v>
      </c>
      <c r="K1686">
        <f t="shared" si="106"/>
        <v>0</v>
      </c>
      <c r="L1686">
        <f t="shared" si="107"/>
        <v>0</v>
      </c>
    </row>
    <row r="1687" spans="1:12" x14ac:dyDescent="0.35">
      <c r="A1687" s="1" t="s">
        <v>35</v>
      </c>
      <c r="B1687">
        <v>0.41782941899999998</v>
      </c>
      <c r="C1687">
        <v>7.6290999999999998E-3</v>
      </c>
      <c r="D1687">
        <v>0</v>
      </c>
      <c r="E1687">
        <v>0</v>
      </c>
      <c r="F1687">
        <v>0</v>
      </c>
      <c r="G1687">
        <v>849.84936000000005</v>
      </c>
      <c r="I1687">
        <f t="shared" si="104"/>
        <v>0.36543053893202671</v>
      </c>
      <c r="J1687">
        <f t="shared" si="105"/>
        <v>0</v>
      </c>
      <c r="K1687">
        <f t="shared" si="106"/>
        <v>0</v>
      </c>
      <c r="L1687">
        <f t="shared" si="107"/>
        <v>0</v>
      </c>
    </row>
    <row r="1688" spans="1:12" x14ac:dyDescent="0.35">
      <c r="A1688" s="1" t="s">
        <v>36</v>
      </c>
      <c r="B1688">
        <v>0.41782864199999997</v>
      </c>
      <c r="C1688">
        <v>5.4992000000000001E-3</v>
      </c>
      <c r="D1688">
        <v>0</v>
      </c>
      <c r="E1688">
        <v>0</v>
      </c>
      <c r="F1688">
        <v>0</v>
      </c>
      <c r="G1688">
        <v>850.26719000000003</v>
      </c>
      <c r="I1688">
        <f t="shared" si="104"/>
        <v>0.26340975432619773</v>
      </c>
      <c r="J1688">
        <f t="shared" si="105"/>
        <v>0</v>
      </c>
      <c r="K1688">
        <f t="shared" si="106"/>
        <v>0</v>
      </c>
      <c r="L1688">
        <f t="shared" si="107"/>
        <v>0</v>
      </c>
    </row>
    <row r="1689" spans="1:12" x14ac:dyDescent="0.35">
      <c r="A1689" s="1" t="s">
        <v>37</v>
      </c>
      <c r="B1689">
        <v>0.41782827500000003</v>
      </c>
      <c r="C1689">
        <v>4.1392E-3</v>
      </c>
      <c r="D1689">
        <v>0</v>
      </c>
      <c r="E1689">
        <v>0</v>
      </c>
      <c r="F1689">
        <v>0</v>
      </c>
      <c r="G1689">
        <v>850.68502000000001</v>
      </c>
      <c r="I1689">
        <f t="shared" si="104"/>
        <v>0.19826640470947862</v>
      </c>
      <c r="J1689">
        <f t="shared" si="105"/>
        <v>0</v>
      </c>
      <c r="K1689">
        <f t="shared" si="106"/>
        <v>0</v>
      </c>
      <c r="L1689">
        <f t="shared" si="107"/>
        <v>0</v>
      </c>
    </row>
    <row r="1690" spans="1:12" x14ac:dyDescent="0.35">
      <c r="A1690" s="1" t="s">
        <v>38</v>
      </c>
      <c r="B1690">
        <v>0.41782808399999999</v>
      </c>
      <c r="C1690">
        <v>3.2192000000000002E-3</v>
      </c>
      <c r="D1690">
        <v>0</v>
      </c>
      <c r="E1690">
        <v>0</v>
      </c>
      <c r="F1690">
        <v>0</v>
      </c>
      <c r="G1690">
        <v>851.10284999999999</v>
      </c>
      <c r="I1690">
        <f t="shared" si="104"/>
        <v>0.15419875865034546</v>
      </c>
      <c r="J1690">
        <f t="shared" si="105"/>
        <v>0</v>
      </c>
      <c r="K1690">
        <f t="shared" si="106"/>
        <v>0</v>
      </c>
      <c r="L1690">
        <f t="shared" si="107"/>
        <v>0</v>
      </c>
    </row>
    <row r="1691" spans="1:12" x14ac:dyDescent="0.35">
      <c r="A1691" s="1" t="s">
        <v>39</v>
      </c>
      <c r="B1691">
        <v>0.41782794400000001</v>
      </c>
      <c r="C1691">
        <v>2.3392E-3</v>
      </c>
      <c r="D1691">
        <v>0</v>
      </c>
      <c r="E1691">
        <v>0</v>
      </c>
      <c r="F1691">
        <v>0</v>
      </c>
      <c r="G1691">
        <v>851.52067</v>
      </c>
      <c r="I1691">
        <f t="shared" si="104"/>
        <v>0.11204704805350077</v>
      </c>
      <c r="J1691">
        <f t="shared" si="105"/>
        <v>0</v>
      </c>
      <c r="K1691">
        <f t="shared" si="106"/>
        <v>0</v>
      </c>
      <c r="L1691">
        <f t="shared" si="107"/>
        <v>0</v>
      </c>
    </row>
    <row r="1692" spans="1:12" x14ac:dyDescent="0.35">
      <c r="A1692" s="1" t="s">
        <v>79</v>
      </c>
      <c r="B1692">
        <v>0.21199999999999999</v>
      </c>
      <c r="C1692">
        <v>0</v>
      </c>
      <c r="D1692">
        <v>-2.53358734</v>
      </c>
      <c r="E1692">
        <v>0</v>
      </c>
      <c r="F1692">
        <v>0</v>
      </c>
      <c r="G1692">
        <v>851.77967000000001</v>
      </c>
      <c r="I1692">
        <f t="shared" si="104"/>
        <v>0</v>
      </c>
      <c r="J1692">
        <f t="shared" si="105"/>
        <v>-50.706825936458621</v>
      </c>
      <c r="K1692">
        <f t="shared" si="106"/>
        <v>0</v>
      </c>
      <c r="L1692">
        <f t="shared" si="107"/>
        <v>0</v>
      </c>
    </row>
    <row r="1693" spans="1:12" x14ac:dyDescent="0.35">
      <c r="A1693" s="1" t="s">
        <v>80</v>
      </c>
      <c r="B1693">
        <v>0.16600000000000001</v>
      </c>
      <c r="C1693">
        <v>0</v>
      </c>
      <c r="D1693">
        <v>0</v>
      </c>
      <c r="E1693">
        <v>-202.23429300000001</v>
      </c>
      <c r="F1693">
        <v>0</v>
      </c>
      <c r="G1693">
        <v>852.02067</v>
      </c>
      <c r="I1693">
        <f t="shared" si="104"/>
        <v>0</v>
      </c>
      <c r="J1693">
        <f t="shared" si="105"/>
        <v>0</v>
      </c>
      <c r="K1693">
        <f t="shared" si="106"/>
        <v>-4047.4859230760812</v>
      </c>
      <c r="L1693">
        <f t="shared" si="107"/>
        <v>0</v>
      </c>
    </row>
    <row r="1694" spans="1:12" x14ac:dyDescent="0.35">
      <c r="A1694" s="1" t="s">
        <v>81</v>
      </c>
      <c r="B1694">
        <v>0.09</v>
      </c>
      <c r="C1694">
        <v>0</v>
      </c>
      <c r="D1694">
        <v>0</v>
      </c>
      <c r="E1694">
        <v>0</v>
      </c>
      <c r="F1694">
        <v>-13632</v>
      </c>
      <c r="G1694">
        <v>852.56152999999995</v>
      </c>
      <c r="I1694">
        <f t="shared" si="104"/>
        <v>0</v>
      </c>
      <c r="J1694">
        <f t="shared" si="105"/>
        <v>0</v>
      </c>
      <c r="K1694">
        <f t="shared" si="106"/>
        <v>0</v>
      </c>
      <c r="L1694">
        <f t="shared" si="107"/>
        <v>-272828.74375501258</v>
      </c>
    </row>
    <row r="1695" spans="1:12" x14ac:dyDescent="0.35">
      <c r="A1695" s="1" t="s">
        <v>82</v>
      </c>
      <c r="B1695">
        <v>0.21199999999999999</v>
      </c>
      <c r="C1695">
        <v>0</v>
      </c>
      <c r="D1695">
        <v>2.47240752</v>
      </c>
      <c r="E1695">
        <v>0</v>
      </c>
      <c r="F1695">
        <v>0</v>
      </c>
      <c r="G1695">
        <v>852.83353</v>
      </c>
      <c r="I1695">
        <f t="shared" si="104"/>
        <v>0</v>
      </c>
      <c r="J1695">
        <f t="shared" si="105"/>
        <v>49.48238246273813</v>
      </c>
      <c r="K1695">
        <f t="shared" si="106"/>
        <v>0</v>
      </c>
      <c r="L1695">
        <f t="shared" si="107"/>
        <v>0</v>
      </c>
    </row>
    <row r="1696" spans="1:12" x14ac:dyDescent="0.35">
      <c r="A1696" s="1" t="s">
        <v>83</v>
      </c>
      <c r="B1696">
        <v>0.1</v>
      </c>
      <c r="C1696">
        <v>0</v>
      </c>
      <c r="D1696">
        <v>0</v>
      </c>
      <c r="E1696">
        <v>172.62799999999999</v>
      </c>
      <c r="F1696">
        <v>0</v>
      </c>
      <c r="G1696">
        <v>853.00852999999995</v>
      </c>
      <c r="I1696">
        <f t="shared" si="104"/>
        <v>0</v>
      </c>
      <c r="J1696">
        <f t="shared" si="105"/>
        <v>0</v>
      </c>
      <c r="K1696">
        <f t="shared" si="106"/>
        <v>3454.9501450220296</v>
      </c>
      <c r="L1696">
        <f t="shared" si="107"/>
        <v>0</v>
      </c>
    </row>
    <row r="1697" spans="1:12" x14ac:dyDescent="0.35">
      <c r="A1697" s="1" t="s">
        <v>83</v>
      </c>
      <c r="B1697">
        <v>0.1</v>
      </c>
      <c r="C1697">
        <v>0</v>
      </c>
      <c r="D1697">
        <v>0</v>
      </c>
      <c r="E1697">
        <v>172.62799999999999</v>
      </c>
      <c r="F1697">
        <v>0</v>
      </c>
      <c r="G1697">
        <f>0.1+853.00853</f>
        <v>853.10852999999997</v>
      </c>
      <c r="I1697">
        <f t="shared" si="104"/>
        <v>0</v>
      </c>
      <c r="J1697">
        <f t="shared" si="105"/>
        <v>0</v>
      </c>
      <c r="K1697">
        <f t="shared" si="106"/>
        <v>3454.9501450220296</v>
      </c>
      <c r="L1697">
        <f t="shared" si="107"/>
        <v>0</v>
      </c>
    </row>
    <row r="1698" spans="1:12" x14ac:dyDescent="0.35">
      <c r="A1698" s="1" t="s">
        <v>84</v>
      </c>
      <c r="B1698">
        <v>0.21199999999999999</v>
      </c>
      <c r="C1698">
        <v>0</v>
      </c>
      <c r="D1698">
        <v>2.47240752</v>
      </c>
      <c r="E1698">
        <v>0</v>
      </c>
      <c r="F1698">
        <v>0</v>
      </c>
      <c r="G1698">
        <v>853.39553000000001</v>
      </c>
      <c r="I1698">
        <f t="shared" si="104"/>
        <v>0</v>
      </c>
      <c r="J1698">
        <f t="shared" si="105"/>
        <v>49.48238246273813</v>
      </c>
      <c r="K1698">
        <f t="shared" si="106"/>
        <v>0</v>
      </c>
      <c r="L1698">
        <f t="shared" si="107"/>
        <v>0</v>
      </c>
    </row>
    <row r="1699" spans="1:12" x14ac:dyDescent="0.35">
      <c r="A1699" s="1" t="s">
        <v>85</v>
      </c>
      <c r="B1699">
        <v>0.16600000000000001</v>
      </c>
      <c r="C1699">
        <v>0</v>
      </c>
      <c r="D1699">
        <v>0</v>
      </c>
      <c r="E1699">
        <v>-132.861086</v>
      </c>
      <c r="F1699">
        <v>0</v>
      </c>
      <c r="G1699">
        <v>854.16237999999998</v>
      </c>
      <c r="I1699">
        <f t="shared" si="104"/>
        <v>0</v>
      </c>
      <c r="J1699">
        <f t="shared" si="105"/>
        <v>0</v>
      </c>
      <c r="K1699">
        <f t="shared" si="106"/>
        <v>-2659.0612666744933</v>
      </c>
      <c r="L1699">
        <f t="shared" si="107"/>
        <v>0</v>
      </c>
    </row>
    <row r="1700" spans="1:12" x14ac:dyDescent="0.35">
      <c r="A1700" s="1" t="s">
        <v>86</v>
      </c>
      <c r="B1700">
        <v>0.21199999999999999</v>
      </c>
      <c r="C1700">
        <v>0</v>
      </c>
      <c r="D1700">
        <v>-2.3709669899999999</v>
      </c>
      <c r="E1700">
        <v>0</v>
      </c>
      <c r="F1700">
        <v>0</v>
      </c>
      <c r="G1700">
        <v>854.44938000000002</v>
      </c>
      <c r="I1700">
        <f t="shared" si="104"/>
        <v>0</v>
      </c>
      <c r="J1700">
        <f t="shared" si="105"/>
        <v>-47.452167353748784</v>
      </c>
      <c r="K1700">
        <f t="shared" si="106"/>
        <v>0</v>
      </c>
      <c r="L1700">
        <f t="shared" si="107"/>
        <v>0</v>
      </c>
    </row>
    <row r="1701" spans="1:12" x14ac:dyDescent="0.35">
      <c r="A1701" s="1" t="s">
        <v>48</v>
      </c>
      <c r="B1701">
        <v>0.41782794400000001</v>
      </c>
      <c r="C1701">
        <v>2.3392E-3</v>
      </c>
      <c r="D1701">
        <v>0</v>
      </c>
      <c r="E1701">
        <v>0</v>
      </c>
      <c r="F1701">
        <v>0</v>
      </c>
      <c r="G1701">
        <v>854.91421000000003</v>
      </c>
      <c r="I1701">
        <f t="shared" si="104"/>
        <v>0.11204704805350077</v>
      </c>
      <c r="J1701">
        <f t="shared" si="105"/>
        <v>0</v>
      </c>
      <c r="K1701">
        <f t="shared" si="106"/>
        <v>0</v>
      </c>
      <c r="L1701">
        <f t="shared" si="107"/>
        <v>0</v>
      </c>
    </row>
    <row r="1702" spans="1:12" x14ac:dyDescent="0.35">
      <c r="A1702" s="1" t="s">
        <v>49</v>
      </c>
      <c r="B1702">
        <v>0.41782808399999999</v>
      </c>
      <c r="C1702">
        <v>3.2192000000000002E-3</v>
      </c>
      <c r="D1702">
        <v>0</v>
      </c>
      <c r="E1702">
        <v>0</v>
      </c>
      <c r="F1702">
        <v>0</v>
      </c>
      <c r="G1702">
        <v>855.33204000000001</v>
      </c>
      <c r="I1702">
        <f t="shared" si="104"/>
        <v>0.15419875865034546</v>
      </c>
      <c r="J1702">
        <f t="shared" si="105"/>
        <v>0</v>
      </c>
      <c r="K1702">
        <f t="shared" si="106"/>
        <v>0</v>
      </c>
      <c r="L1702">
        <f t="shared" si="107"/>
        <v>0</v>
      </c>
    </row>
    <row r="1703" spans="1:12" x14ac:dyDescent="0.35">
      <c r="A1703" s="1" t="s">
        <v>50</v>
      </c>
      <c r="B1703">
        <v>0.41782827500000003</v>
      </c>
      <c r="C1703">
        <v>4.1392E-3</v>
      </c>
      <c r="D1703">
        <v>0</v>
      </c>
      <c r="E1703">
        <v>0</v>
      </c>
      <c r="F1703">
        <v>0</v>
      </c>
      <c r="G1703">
        <v>855.74986000000001</v>
      </c>
      <c r="I1703">
        <f t="shared" si="104"/>
        <v>0.19826640470947862</v>
      </c>
      <c r="J1703">
        <f t="shared" si="105"/>
        <v>0</v>
      </c>
      <c r="K1703">
        <f t="shared" si="106"/>
        <v>0</v>
      </c>
      <c r="L1703">
        <f t="shared" si="107"/>
        <v>0</v>
      </c>
    </row>
    <row r="1704" spans="1:12" x14ac:dyDescent="0.35">
      <c r="A1704" s="1" t="s">
        <v>51</v>
      </c>
      <c r="B1704">
        <v>0.41782864199999997</v>
      </c>
      <c r="C1704">
        <v>5.4992000000000001E-3</v>
      </c>
      <c r="D1704">
        <v>0</v>
      </c>
      <c r="E1704">
        <v>0</v>
      </c>
      <c r="F1704">
        <v>0</v>
      </c>
      <c r="G1704">
        <v>856.16768999999999</v>
      </c>
      <c r="I1704">
        <f t="shared" si="104"/>
        <v>0.26340975432619773</v>
      </c>
      <c r="J1704">
        <f t="shared" si="105"/>
        <v>0</v>
      </c>
      <c r="K1704">
        <f t="shared" si="106"/>
        <v>0</v>
      </c>
      <c r="L1704">
        <f t="shared" si="107"/>
        <v>0</v>
      </c>
    </row>
    <row r="1705" spans="1:12" x14ac:dyDescent="0.35">
      <c r="A1705" s="1" t="s">
        <v>52</v>
      </c>
      <c r="B1705">
        <v>0.41783028900000002</v>
      </c>
      <c r="C1705">
        <v>9.4690999999999994E-3</v>
      </c>
      <c r="D1705">
        <v>0</v>
      </c>
      <c r="E1705">
        <v>0</v>
      </c>
      <c r="F1705">
        <v>0</v>
      </c>
      <c r="G1705">
        <v>856.58551999999997</v>
      </c>
      <c r="I1705">
        <f t="shared" si="104"/>
        <v>0.45356478630764774</v>
      </c>
      <c r="J1705">
        <f t="shared" si="105"/>
        <v>0</v>
      </c>
      <c r="K1705">
        <f t="shared" si="106"/>
        <v>0</v>
      </c>
      <c r="L1705">
        <f t="shared" si="107"/>
        <v>0</v>
      </c>
    </row>
    <row r="1706" spans="1:12" x14ac:dyDescent="0.35">
      <c r="A1706" s="1" t="s">
        <v>87</v>
      </c>
      <c r="B1706">
        <v>0.16200000000000001</v>
      </c>
      <c r="C1706">
        <v>0</v>
      </c>
      <c r="D1706">
        <v>-2.8698264299999998</v>
      </c>
      <c r="E1706">
        <v>0</v>
      </c>
      <c r="F1706">
        <v>0</v>
      </c>
      <c r="G1706">
        <v>856.79452000000003</v>
      </c>
      <c r="I1706">
        <f t="shared" si="104"/>
        <v>0</v>
      </c>
      <c r="J1706">
        <f t="shared" si="105"/>
        <v>-57.436263181619168</v>
      </c>
      <c r="K1706">
        <f t="shared" si="106"/>
        <v>0</v>
      </c>
      <c r="L1706">
        <f t="shared" si="107"/>
        <v>0</v>
      </c>
    </row>
    <row r="1707" spans="1:12" x14ac:dyDescent="0.35">
      <c r="A1707" s="1" t="s">
        <v>54</v>
      </c>
      <c r="B1707">
        <v>0.1</v>
      </c>
      <c r="C1707">
        <v>0</v>
      </c>
      <c r="D1707">
        <v>0</v>
      </c>
      <c r="E1707">
        <v>0</v>
      </c>
      <c r="F1707">
        <v>0</v>
      </c>
      <c r="G1707">
        <v>857.12451999999996</v>
      </c>
      <c r="I1707">
        <f t="shared" si="104"/>
        <v>0</v>
      </c>
      <c r="J1707">
        <f t="shared" si="105"/>
        <v>0</v>
      </c>
      <c r="K1707">
        <f t="shared" si="106"/>
        <v>0</v>
      </c>
      <c r="L1707">
        <f t="shared" si="107"/>
        <v>0</v>
      </c>
    </row>
    <row r="1708" spans="1:12" x14ac:dyDescent="0.35">
      <c r="A1708" s="1" t="s">
        <v>88</v>
      </c>
      <c r="B1708">
        <v>0.29499999999999998</v>
      </c>
      <c r="C1708">
        <v>0</v>
      </c>
      <c r="D1708">
        <v>2.43875777</v>
      </c>
      <c r="E1708">
        <v>0</v>
      </c>
      <c r="F1708">
        <v>0</v>
      </c>
      <c r="G1708">
        <v>857.52952000000005</v>
      </c>
      <c r="I1708">
        <f t="shared" si="104"/>
        <v>0</v>
      </c>
      <c r="J1708">
        <f t="shared" si="105"/>
        <v>48.808921560436907</v>
      </c>
      <c r="K1708">
        <f t="shared" si="106"/>
        <v>0</v>
      </c>
      <c r="L1708">
        <f t="shared" si="107"/>
        <v>0</v>
      </c>
    </row>
    <row r="1709" spans="1:12" x14ac:dyDescent="0.35">
      <c r="A1709" s="1" t="s">
        <v>56</v>
      </c>
      <c r="B1709">
        <v>0.29499999999999998</v>
      </c>
      <c r="C1709">
        <v>0</v>
      </c>
      <c r="D1709">
        <v>2.43875777</v>
      </c>
      <c r="E1709">
        <v>0</v>
      </c>
      <c r="F1709">
        <v>0</v>
      </c>
      <c r="G1709">
        <v>863.40268000000003</v>
      </c>
      <c r="I1709">
        <f t="shared" si="104"/>
        <v>0</v>
      </c>
      <c r="J1709">
        <f t="shared" si="105"/>
        <v>48.808921560436907</v>
      </c>
      <c r="K1709">
        <f t="shared" si="106"/>
        <v>0</v>
      </c>
      <c r="L1709">
        <f t="shared" si="107"/>
        <v>0</v>
      </c>
    </row>
    <row r="1710" spans="1:12" x14ac:dyDescent="0.35">
      <c r="A1710" s="1" t="s">
        <v>2</v>
      </c>
      <c r="B1710">
        <v>0.1</v>
      </c>
      <c r="C1710">
        <v>0</v>
      </c>
      <c r="D1710">
        <v>0</v>
      </c>
      <c r="E1710">
        <v>0</v>
      </c>
      <c r="F1710">
        <v>0</v>
      </c>
      <c r="G1710">
        <v>863.61267999999995</v>
      </c>
      <c r="I1710">
        <f t="shared" si="104"/>
        <v>0</v>
      </c>
      <c r="J1710">
        <f t="shared" si="105"/>
        <v>0</v>
      </c>
      <c r="K1710">
        <f t="shared" si="106"/>
        <v>0</v>
      </c>
      <c r="L1710">
        <f t="shared" si="107"/>
        <v>0</v>
      </c>
    </row>
    <row r="1711" spans="1:12" x14ac:dyDescent="0.35">
      <c r="A1711" s="1" t="s">
        <v>57</v>
      </c>
      <c r="B1711">
        <v>0.16200000000000001</v>
      </c>
      <c r="C1711">
        <v>0</v>
      </c>
      <c r="D1711">
        <v>-2.8698264299999998</v>
      </c>
      <c r="E1711">
        <v>0</v>
      </c>
      <c r="F1711">
        <v>0</v>
      </c>
      <c r="G1711">
        <v>864.00468000000001</v>
      </c>
      <c r="I1711">
        <f t="shared" si="104"/>
        <v>0</v>
      </c>
      <c r="J1711">
        <f t="shared" si="105"/>
        <v>-57.436263181619168</v>
      </c>
      <c r="K1711">
        <f t="shared" si="106"/>
        <v>0</v>
      </c>
      <c r="L1711">
        <f t="shared" si="107"/>
        <v>0</v>
      </c>
    </row>
    <row r="1712" spans="1:12" x14ac:dyDescent="0.35">
      <c r="A1712" s="1" t="s">
        <v>58</v>
      </c>
      <c r="B1712">
        <v>0.41783028900000002</v>
      </c>
      <c r="C1712">
        <v>9.4690999999999994E-3</v>
      </c>
      <c r="D1712">
        <v>0</v>
      </c>
      <c r="E1712">
        <v>0</v>
      </c>
      <c r="F1712">
        <v>0</v>
      </c>
      <c r="G1712">
        <v>864.46951000000001</v>
      </c>
      <c r="I1712">
        <f t="shared" si="104"/>
        <v>0.45356478630764774</v>
      </c>
      <c r="J1712">
        <f t="shared" si="105"/>
        <v>0</v>
      </c>
      <c r="K1712">
        <f t="shared" si="106"/>
        <v>0</v>
      </c>
      <c r="L1712">
        <f t="shared" si="107"/>
        <v>0</v>
      </c>
    </row>
    <row r="1713" spans="1:12" x14ac:dyDescent="0.35">
      <c r="A1713" s="1" t="s">
        <v>59</v>
      </c>
      <c r="B1713">
        <v>0.41782864199999997</v>
      </c>
      <c r="C1713">
        <v>5.4992000000000001E-3</v>
      </c>
      <c r="D1713">
        <v>0</v>
      </c>
      <c r="E1713">
        <v>0</v>
      </c>
      <c r="F1713">
        <v>0</v>
      </c>
      <c r="G1713">
        <v>864.88733000000002</v>
      </c>
      <c r="I1713">
        <f t="shared" si="104"/>
        <v>0.26340975432619773</v>
      </c>
      <c r="J1713">
        <f t="shared" si="105"/>
        <v>0</v>
      </c>
      <c r="K1713">
        <f t="shared" si="106"/>
        <v>0</v>
      </c>
      <c r="L1713">
        <f t="shared" si="107"/>
        <v>0</v>
      </c>
    </row>
    <row r="1714" spans="1:12" x14ac:dyDescent="0.35">
      <c r="A1714" s="1" t="s">
        <v>60</v>
      </c>
      <c r="B1714">
        <v>0.41782827500000003</v>
      </c>
      <c r="C1714">
        <v>4.1392E-3</v>
      </c>
      <c r="D1714">
        <v>0</v>
      </c>
      <c r="E1714">
        <v>0</v>
      </c>
      <c r="F1714">
        <v>0</v>
      </c>
      <c r="G1714">
        <v>865.30516</v>
      </c>
      <c r="I1714">
        <f t="shared" si="104"/>
        <v>0.19826640470947862</v>
      </c>
      <c r="J1714">
        <f t="shared" si="105"/>
        <v>0</v>
      </c>
      <c r="K1714">
        <f t="shared" si="106"/>
        <v>0</v>
      </c>
      <c r="L1714">
        <f t="shared" si="107"/>
        <v>0</v>
      </c>
    </row>
    <row r="1715" spans="1:12" x14ac:dyDescent="0.35">
      <c r="A1715" s="1" t="s">
        <v>61</v>
      </c>
      <c r="B1715">
        <v>0.41782808399999999</v>
      </c>
      <c r="C1715">
        <v>3.2192000000000002E-3</v>
      </c>
      <c r="D1715">
        <v>0</v>
      </c>
      <c r="E1715">
        <v>0</v>
      </c>
      <c r="F1715">
        <v>0</v>
      </c>
      <c r="G1715">
        <v>865.72298999999998</v>
      </c>
      <c r="I1715">
        <f t="shared" si="104"/>
        <v>0.15419875865034546</v>
      </c>
      <c r="J1715">
        <f t="shared" si="105"/>
        <v>0</v>
      </c>
      <c r="K1715">
        <f t="shared" si="106"/>
        <v>0</v>
      </c>
      <c r="L1715">
        <f t="shared" si="107"/>
        <v>0</v>
      </c>
    </row>
    <row r="1716" spans="1:12" x14ac:dyDescent="0.35">
      <c r="A1716" s="1" t="s">
        <v>62</v>
      </c>
      <c r="B1716">
        <v>0.41782794400000001</v>
      </c>
      <c r="C1716">
        <v>2.3392E-3</v>
      </c>
      <c r="D1716">
        <v>0</v>
      </c>
      <c r="E1716">
        <v>0</v>
      </c>
      <c r="F1716">
        <v>0</v>
      </c>
      <c r="G1716">
        <v>866.14081999999996</v>
      </c>
      <c r="I1716">
        <f t="shared" si="104"/>
        <v>0.11204704805350077</v>
      </c>
      <c r="J1716">
        <f t="shared" si="105"/>
        <v>0</v>
      </c>
      <c r="K1716">
        <f t="shared" si="106"/>
        <v>0</v>
      </c>
      <c r="L1716">
        <f t="shared" si="107"/>
        <v>0</v>
      </c>
    </row>
    <row r="1717" spans="1:12" x14ac:dyDescent="0.35">
      <c r="A1717" s="1" t="s">
        <v>63</v>
      </c>
      <c r="B1717">
        <v>0.21199999999999999</v>
      </c>
      <c r="C1717">
        <v>0</v>
      </c>
      <c r="D1717">
        <v>-2.3709669899999999</v>
      </c>
      <c r="E1717">
        <v>0</v>
      </c>
      <c r="F1717">
        <v>0</v>
      </c>
      <c r="G1717">
        <v>866.39981999999998</v>
      </c>
      <c r="I1717">
        <f t="shared" si="104"/>
        <v>0</v>
      </c>
      <c r="J1717">
        <f t="shared" si="105"/>
        <v>-47.452167353748784</v>
      </c>
      <c r="K1717">
        <f t="shared" si="106"/>
        <v>0</v>
      </c>
      <c r="L1717">
        <f t="shared" si="107"/>
        <v>0</v>
      </c>
    </row>
    <row r="1718" spans="1:12" x14ac:dyDescent="0.35">
      <c r="A1718" s="1" t="s">
        <v>64</v>
      </c>
      <c r="B1718">
        <v>0.16600000000000001</v>
      </c>
      <c r="C1718">
        <v>0</v>
      </c>
      <c r="D1718">
        <v>0</v>
      </c>
      <c r="E1718">
        <v>-132.861086</v>
      </c>
      <c r="F1718">
        <v>0</v>
      </c>
      <c r="G1718">
        <v>866.64081999999996</v>
      </c>
      <c r="I1718">
        <f t="shared" si="104"/>
        <v>0</v>
      </c>
      <c r="J1718">
        <f t="shared" si="105"/>
        <v>0</v>
      </c>
      <c r="K1718">
        <f t="shared" si="106"/>
        <v>-2659.0612666744933</v>
      </c>
      <c r="L1718">
        <f t="shared" si="107"/>
        <v>0</v>
      </c>
    </row>
    <row r="1719" spans="1:12" x14ac:dyDescent="0.35">
      <c r="A1719" s="1" t="s">
        <v>65</v>
      </c>
      <c r="B1719">
        <v>0.21199999999999999</v>
      </c>
      <c r="C1719">
        <v>0</v>
      </c>
      <c r="D1719">
        <v>2.47240752</v>
      </c>
      <c r="E1719">
        <v>0</v>
      </c>
      <c r="F1719">
        <v>0</v>
      </c>
      <c r="G1719">
        <v>867.45366999999999</v>
      </c>
      <c r="I1719">
        <f t="shared" si="104"/>
        <v>0</v>
      </c>
      <c r="J1719">
        <f t="shared" si="105"/>
        <v>49.48238246273813</v>
      </c>
      <c r="K1719">
        <f t="shared" si="106"/>
        <v>0</v>
      </c>
      <c r="L1719">
        <f t="shared" si="107"/>
        <v>0</v>
      </c>
    </row>
    <row r="1720" spans="1:12" x14ac:dyDescent="0.35">
      <c r="A1720" s="1" t="s">
        <v>66</v>
      </c>
      <c r="B1720">
        <v>0.1</v>
      </c>
      <c r="C1720">
        <v>0</v>
      </c>
      <c r="D1720">
        <v>0</v>
      </c>
      <c r="E1720">
        <v>172.62799999999999</v>
      </c>
      <c r="F1720">
        <v>0</v>
      </c>
      <c r="G1720">
        <v>867.62867000000006</v>
      </c>
      <c r="I1720">
        <f t="shared" si="104"/>
        <v>0</v>
      </c>
      <c r="J1720">
        <f t="shared" si="105"/>
        <v>0</v>
      </c>
      <c r="K1720">
        <f t="shared" si="106"/>
        <v>3454.9501450220296</v>
      </c>
      <c r="L1720">
        <f t="shared" si="107"/>
        <v>0</v>
      </c>
    </row>
    <row r="1721" spans="1:12" x14ac:dyDescent="0.35">
      <c r="A1721" s="1" t="s">
        <v>66</v>
      </c>
      <c r="B1721">
        <v>0.1</v>
      </c>
      <c r="C1721">
        <v>0</v>
      </c>
      <c r="D1721">
        <v>0</v>
      </c>
      <c r="E1721">
        <v>172.62799999999999</v>
      </c>
      <c r="F1721">
        <v>0</v>
      </c>
      <c r="G1721">
        <f>867.62867+0.1</f>
        <v>867.72867000000008</v>
      </c>
      <c r="I1721">
        <f t="shared" si="104"/>
        <v>0</v>
      </c>
      <c r="J1721">
        <f t="shared" si="105"/>
        <v>0</v>
      </c>
      <c r="K1721">
        <f t="shared" si="106"/>
        <v>3454.9501450220296</v>
      </c>
      <c r="L1721">
        <f t="shared" si="107"/>
        <v>0</v>
      </c>
    </row>
    <row r="1722" spans="1:12" x14ac:dyDescent="0.35">
      <c r="A1722" s="1" t="s">
        <v>67</v>
      </c>
      <c r="B1722">
        <v>0.21199999999999999</v>
      </c>
      <c r="C1722">
        <v>0</v>
      </c>
      <c r="D1722">
        <v>2.47240752</v>
      </c>
      <c r="E1722">
        <v>0</v>
      </c>
      <c r="F1722">
        <v>0</v>
      </c>
      <c r="G1722">
        <v>868.01567</v>
      </c>
      <c r="I1722">
        <f t="shared" si="104"/>
        <v>0</v>
      </c>
      <c r="J1722">
        <f t="shared" si="105"/>
        <v>49.48238246273813</v>
      </c>
      <c r="K1722">
        <f t="shared" si="106"/>
        <v>0</v>
      </c>
      <c r="L1722">
        <f t="shared" si="107"/>
        <v>0</v>
      </c>
    </row>
    <row r="1723" spans="1:12" x14ac:dyDescent="0.35">
      <c r="A1723" s="1" t="s">
        <v>68</v>
      </c>
      <c r="B1723">
        <v>0.09</v>
      </c>
      <c r="C1723">
        <v>0</v>
      </c>
      <c r="D1723">
        <v>0</v>
      </c>
      <c r="E1723">
        <v>0</v>
      </c>
      <c r="F1723">
        <v>-13632</v>
      </c>
      <c r="G1723">
        <v>868.16566999999998</v>
      </c>
      <c r="I1723">
        <f t="shared" si="104"/>
        <v>0</v>
      </c>
      <c r="J1723">
        <f t="shared" si="105"/>
        <v>0</v>
      </c>
      <c r="K1723">
        <f t="shared" si="106"/>
        <v>0</v>
      </c>
      <c r="L1723">
        <f t="shared" si="107"/>
        <v>-272828.74375501258</v>
      </c>
    </row>
    <row r="1724" spans="1:12" x14ac:dyDescent="0.35">
      <c r="A1724" s="1" t="s">
        <v>69</v>
      </c>
      <c r="B1724">
        <v>0.16600000000000001</v>
      </c>
      <c r="C1724">
        <v>0</v>
      </c>
      <c r="D1724">
        <v>0</v>
      </c>
      <c r="E1724">
        <v>-202.23429300000001</v>
      </c>
      <c r="F1724">
        <v>0</v>
      </c>
      <c r="G1724">
        <v>868.78252999999995</v>
      </c>
      <c r="I1724">
        <f t="shared" si="104"/>
        <v>0</v>
      </c>
      <c r="J1724">
        <f t="shared" si="105"/>
        <v>0</v>
      </c>
      <c r="K1724">
        <f t="shared" si="106"/>
        <v>-4047.4859230760812</v>
      </c>
      <c r="L1724">
        <f t="shared" si="107"/>
        <v>0</v>
      </c>
    </row>
    <row r="1725" spans="1:12" x14ac:dyDescent="0.35">
      <c r="A1725" s="1" t="s">
        <v>70</v>
      </c>
      <c r="B1725">
        <v>0.21199999999999999</v>
      </c>
      <c r="C1725">
        <v>0</v>
      </c>
      <c r="D1725">
        <v>-2.53358734</v>
      </c>
      <c r="E1725">
        <v>0</v>
      </c>
      <c r="F1725">
        <v>0</v>
      </c>
      <c r="G1725">
        <v>869.06952999999999</v>
      </c>
      <c r="I1725">
        <f t="shared" si="104"/>
        <v>0</v>
      </c>
      <c r="J1725">
        <f t="shared" si="105"/>
        <v>-50.706825936458621</v>
      </c>
      <c r="K1725">
        <f t="shared" si="106"/>
        <v>0</v>
      </c>
      <c r="L1725">
        <f t="shared" si="107"/>
        <v>0</v>
      </c>
    </row>
    <row r="1726" spans="1:12" x14ac:dyDescent="0.35">
      <c r="A1726" s="1" t="s">
        <v>20</v>
      </c>
      <c r="B1726">
        <v>0.41782794400000001</v>
      </c>
      <c r="C1726">
        <v>2.3392E-3</v>
      </c>
      <c r="D1726">
        <v>0</v>
      </c>
      <c r="E1726">
        <v>0</v>
      </c>
      <c r="F1726">
        <v>0</v>
      </c>
      <c r="G1726">
        <v>869.53435000000002</v>
      </c>
      <c r="I1726">
        <f t="shared" si="104"/>
        <v>0.11204704805350077</v>
      </c>
      <c r="J1726">
        <f t="shared" si="105"/>
        <v>0</v>
      </c>
      <c r="K1726">
        <f t="shared" si="106"/>
        <v>0</v>
      </c>
      <c r="L1726">
        <f t="shared" si="107"/>
        <v>0</v>
      </c>
    </row>
    <row r="1727" spans="1:12" x14ac:dyDescent="0.35">
      <c r="A1727" s="1" t="s">
        <v>21</v>
      </c>
      <c r="B1727">
        <v>0.41782808399999999</v>
      </c>
      <c r="C1727">
        <v>3.2192000000000002E-3</v>
      </c>
      <c r="D1727">
        <v>0</v>
      </c>
      <c r="E1727">
        <v>0</v>
      </c>
      <c r="F1727">
        <v>0</v>
      </c>
      <c r="G1727">
        <v>869.95218</v>
      </c>
      <c r="I1727">
        <f t="shared" si="104"/>
        <v>0.15419875865034546</v>
      </c>
      <c r="J1727">
        <f t="shared" si="105"/>
        <v>0</v>
      </c>
      <c r="K1727">
        <f t="shared" si="106"/>
        <v>0</v>
      </c>
      <c r="L1727">
        <f t="shared" si="107"/>
        <v>0</v>
      </c>
    </row>
    <row r="1728" spans="1:12" x14ac:dyDescent="0.35">
      <c r="A1728" s="1" t="s">
        <v>22</v>
      </c>
      <c r="B1728">
        <v>0.41782827500000003</v>
      </c>
      <c r="C1728">
        <v>4.1392E-3</v>
      </c>
      <c r="D1728">
        <v>0</v>
      </c>
      <c r="E1728">
        <v>0</v>
      </c>
      <c r="F1728">
        <v>0</v>
      </c>
      <c r="G1728">
        <v>870.37000999999998</v>
      </c>
      <c r="I1728">
        <f t="shared" si="104"/>
        <v>0.19826640470947862</v>
      </c>
      <c r="J1728">
        <f t="shared" si="105"/>
        <v>0</v>
      </c>
      <c r="K1728">
        <f t="shared" si="106"/>
        <v>0</v>
      </c>
      <c r="L1728">
        <f t="shared" si="107"/>
        <v>0</v>
      </c>
    </row>
    <row r="1729" spans="1:12" x14ac:dyDescent="0.35">
      <c r="A1729" s="1" t="s">
        <v>23</v>
      </c>
      <c r="B1729">
        <v>0.41782864199999997</v>
      </c>
      <c r="C1729">
        <v>5.4992000000000001E-3</v>
      </c>
      <c r="D1729">
        <v>0</v>
      </c>
      <c r="E1729">
        <v>0</v>
      </c>
      <c r="F1729">
        <v>0</v>
      </c>
      <c r="G1729">
        <v>870.78783999999996</v>
      </c>
      <c r="I1729">
        <f t="shared" si="104"/>
        <v>0.26340975432619773</v>
      </c>
      <c r="J1729">
        <f t="shared" si="105"/>
        <v>0</v>
      </c>
      <c r="K1729">
        <f t="shared" si="106"/>
        <v>0</v>
      </c>
      <c r="L1729">
        <f t="shared" si="107"/>
        <v>0</v>
      </c>
    </row>
    <row r="1730" spans="1:12" x14ac:dyDescent="0.35">
      <c r="A1730" s="1" t="s">
        <v>24</v>
      </c>
      <c r="B1730">
        <v>0.41782941899999998</v>
      </c>
      <c r="C1730">
        <v>7.6290999999999998E-3</v>
      </c>
      <c r="D1730">
        <v>0</v>
      </c>
      <c r="E1730">
        <v>0</v>
      </c>
      <c r="F1730">
        <v>0</v>
      </c>
      <c r="G1730">
        <v>871.20567000000005</v>
      </c>
      <c r="I1730">
        <f t="shared" si="104"/>
        <v>0.36543053893202671</v>
      </c>
      <c r="J1730">
        <f t="shared" si="105"/>
        <v>0</v>
      </c>
      <c r="K1730">
        <f t="shared" si="106"/>
        <v>0</v>
      </c>
      <c r="L1730">
        <f t="shared" si="107"/>
        <v>0</v>
      </c>
    </row>
    <row r="1731" spans="1:12" x14ac:dyDescent="0.35">
      <c r="A1731" s="1" t="s">
        <v>71</v>
      </c>
      <c r="B1731">
        <v>0.3745</v>
      </c>
      <c r="C1731">
        <v>0</v>
      </c>
      <c r="D1731">
        <v>4.5116622</v>
      </c>
      <c r="E1731">
        <v>0</v>
      </c>
      <c r="F1731">
        <v>0</v>
      </c>
      <c r="G1731">
        <v>871.73017000000004</v>
      </c>
      <c r="I1731">
        <f t="shared" si="104"/>
        <v>0</v>
      </c>
      <c r="J1731">
        <f t="shared" si="105"/>
        <v>90.29571084748946</v>
      </c>
      <c r="K1731">
        <f t="shared" si="106"/>
        <v>0</v>
      </c>
      <c r="L1731">
        <f t="shared" si="107"/>
        <v>0</v>
      </c>
    </row>
    <row r="1732" spans="1:12" x14ac:dyDescent="0.35">
      <c r="A1732" s="1" t="s">
        <v>72</v>
      </c>
      <c r="B1732">
        <v>1.0280365199999999</v>
      </c>
      <c r="C1732">
        <v>2.4767999999999998E-2</v>
      </c>
      <c r="D1732">
        <v>-1.929</v>
      </c>
      <c r="E1732">
        <v>0</v>
      </c>
      <c r="F1732">
        <v>0</v>
      </c>
      <c r="G1732">
        <v>872.84820000000002</v>
      </c>
      <c r="I1732">
        <f t="shared" ref="I1732:I1795" si="108">$H$2*$C1732/$B1732</f>
        <v>0.48218416286837618</v>
      </c>
      <c r="J1732">
        <f t="shared" ref="J1732:J1795" si="109">$H$2*$D1732</f>
        <v>-38.606708238220314</v>
      </c>
      <c r="K1732">
        <f t="shared" ref="K1732:K1795" si="110">$H$2*$E1732</f>
        <v>0</v>
      </c>
      <c r="L1732">
        <f t="shared" ref="L1732:L1795" si="111">$H$2*$F1732</f>
        <v>0</v>
      </c>
    </row>
    <row r="1733" spans="1:12" x14ac:dyDescent="0.35">
      <c r="A1733" s="1" t="s">
        <v>73</v>
      </c>
      <c r="B1733">
        <v>0.4975</v>
      </c>
      <c r="C1733">
        <v>0</v>
      </c>
      <c r="D1733">
        <v>4.61414189</v>
      </c>
      <c r="E1733">
        <v>0</v>
      </c>
      <c r="F1733">
        <v>0</v>
      </c>
      <c r="G1733">
        <v>873.4357</v>
      </c>
      <c r="I1733">
        <f t="shared" si="108"/>
        <v>0</v>
      </c>
      <c r="J1733">
        <f t="shared" si="109"/>
        <v>92.346723544313335</v>
      </c>
      <c r="K1733">
        <f t="shared" si="110"/>
        <v>0</v>
      </c>
      <c r="L1733">
        <f t="shared" si="111"/>
        <v>0</v>
      </c>
    </row>
    <row r="1734" spans="1:12" x14ac:dyDescent="0.35">
      <c r="A1734" s="1" t="s">
        <v>28</v>
      </c>
      <c r="B1734">
        <v>0.1</v>
      </c>
      <c r="C1734">
        <v>0</v>
      </c>
      <c r="D1734">
        <v>0</v>
      </c>
      <c r="E1734">
        <v>0</v>
      </c>
      <c r="F1734">
        <v>0</v>
      </c>
      <c r="G1734">
        <v>873.60677999999996</v>
      </c>
      <c r="I1734">
        <f t="shared" si="108"/>
        <v>0</v>
      </c>
      <c r="J1734">
        <f t="shared" si="109"/>
        <v>0</v>
      </c>
      <c r="K1734">
        <f t="shared" si="110"/>
        <v>0</v>
      </c>
      <c r="L1734">
        <f t="shared" si="111"/>
        <v>0</v>
      </c>
    </row>
    <row r="1735" spans="1:12" x14ac:dyDescent="0.35">
      <c r="A1735" s="1" t="s">
        <v>74</v>
      </c>
      <c r="B1735">
        <v>0.40000102700000001</v>
      </c>
      <c r="C1735">
        <v>5.2300999999999997E-3</v>
      </c>
      <c r="D1735">
        <v>-1.5815999999999999</v>
      </c>
      <c r="E1735">
        <v>0</v>
      </c>
      <c r="F1735">
        <v>0</v>
      </c>
      <c r="G1735">
        <v>874.09978000000001</v>
      </c>
      <c r="I1735">
        <f t="shared" si="108"/>
        <v>0.26168536331815889</v>
      </c>
      <c r="J1735">
        <f t="shared" si="109"/>
        <v>-31.653898263125576</v>
      </c>
      <c r="K1735">
        <f t="shared" si="110"/>
        <v>0</v>
      </c>
      <c r="L1735">
        <f t="shared" si="111"/>
        <v>0</v>
      </c>
    </row>
    <row r="1736" spans="1:12" x14ac:dyDescent="0.35">
      <c r="A1736" s="1" t="s">
        <v>30</v>
      </c>
      <c r="B1736">
        <v>2.44294E-2</v>
      </c>
      <c r="C1736">
        <v>1.0499000000000001E-3</v>
      </c>
      <c r="D1736">
        <v>0</v>
      </c>
      <c r="E1736">
        <v>0</v>
      </c>
      <c r="F1736">
        <v>0</v>
      </c>
      <c r="G1736">
        <v>874.19470999999999</v>
      </c>
      <c r="I1736">
        <f t="shared" si="108"/>
        <v>0.8601331402616047</v>
      </c>
      <c r="J1736">
        <f t="shared" si="109"/>
        <v>0</v>
      </c>
      <c r="K1736">
        <f t="shared" si="110"/>
        <v>0</v>
      </c>
      <c r="L1736">
        <f t="shared" si="111"/>
        <v>0</v>
      </c>
    </row>
    <row r="1737" spans="1:12" x14ac:dyDescent="0.35">
      <c r="A1737" s="1" t="s">
        <v>30</v>
      </c>
      <c r="B1737">
        <v>2.44294E-2</v>
      </c>
      <c r="C1737">
        <v>1.0499000000000001E-3</v>
      </c>
      <c r="D1737">
        <v>0</v>
      </c>
      <c r="E1737">
        <v>0</v>
      </c>
      <c r="F1737">
        <v>0</v>
      </c>
      <c r="G1737">
        <f>874.19471+0.0244294</f>
        <v>874.21913940000002</v>
      </c>
      <c r="I1737">
        <f t="shared" si="108"/>
        <v>0.8601331402616047</v>
      </c>
      <c r="J1737">
        <f t="shared" si="109"/>
        <v>0</v>
      </c>
      <c r="K1737">
        <f t="shared" si="110"/>
        <v>0</v>
      </c>
      <c r="L1737">
        <f t="shared" si="111"/>
        <v>0</v>
      </c>
    </row>
    <row r="1738" spans="1:12" x14ac:dyDescent="0.35">
      <c r="A1738" s="1" t="s">
        <v>75</v>
      </c>
      <c r="B1738">
        <v>0.40000102700000001</v>
      </c>
      <c r="C1738">
        <v>5.2300999999999997E-3</v>
      </c>
      <c r="D1738">
        <v>-1.5815999999999999</v>
      </c>
      <c r="E1738">
        <v>0</v>
      </c>
      <c r="F1738">
        <v>0</v>
      </c>
      <c r="G1738">
        <v>874.68964000000005</v>
      </c>
      <c r="I1738">
        <f t="shared" si="108"/>
        <v>0.26168536331815889</v>
      </c>
      <c r="J1738">
        <f t="shared" si="109"/>
        <v>-31.653898263125576</v>
      </c>
      <c r="K1738">
        <f t="shared" si="110"/>
        <v>0</v>
      </c>
      <c r="L1738">
        <f t="shared" si="111"/>
        <v>0</v>
      </c>
    </row>
    <row r="1739" spans="1:12" x14ac:dyDescent="0.35">
      <c r="A1739" s="1" t="s">
        <v>76</v>
      </c>
      <c r="B1739">
        <v>0.4975</v>
      </c>
      <c r="C1739">
        <v>0</v>
      </c>
      <c r="D1739">
        <v>4.61414189</v>
      </c>
      <c r="E1739">
        <v>0</v>
      </c>
      <c r="F1739">
        <v>0</v>
      </c>
      <c r="G1739">
        <v>875.45120999999995</v>
      </c>
      <c r="I1739">
        <f t="shared" si="108"/>
        <v>0</v>
      </c>
      <c r="J1739">
        <f t="shared" si="109"/>
        <v>92.346723544313335</v>
      </c>
      <c r="K1739">
        <f t="shared" si="110"/>
        <v>0</v>
      </c>
      <c r="L1739">
        <f t="shared" si="111"/>
        <v>0</v>
      </c>
    </row>
    <row r="1740" spans="1:12" x14ac:dyDescent="0.35">
      <c r="A1740" s="1" t="s">
        <v>77</v>
      </c>
      <c r="B1740">
        <v>1.0280365199999999</v>
      </c>
      <c r="C1740">
        <v>2.4767999999999998E-2</v>
      </c>
      <c r="D1740">
        <v>-1.929</v>
      </c>
      <c r="E1740">
        <v>0</v>
      </c>
      <c r="F1740">
        <v>0</v>
      </c>
      <c r="G1740">
        <v>876.56924000000004</v>
      </c>
      <c r="I1740">
        <f t="shared" si="108"/>
        <v>0.48218416286837618</v>
      </c>
      <c r="J1740">
        <f t="shared" si="109"/>
        <v>-38.606708238220314</v>
      </c>
      <c r="K1740">
        <f t="shared" si="110"/>
        <v>0</v>
      </c>
      <c r="L1740">
        <f t="shared" si="111"/>
        <v>0</v>
      </c>
    </row>
    <row r="1741" spans="1:12" x14ac:dyDescent="0.35">
      <c r="A1741" s="1" t="s">
        <v>78</v>
      </c>
      <c r="B1741">
        <v>0.3745</v>
      </c>
      <c r="C1741">
        <v>0</v>
      </c>
      <c r="D1741">
        <v>4.5116622</v>
      </c>
      <c r="E1741">
        <v>0</v>
      </c>
      <c r="F1741">
        <v>0</v>
      </c>
      <c r="G1741">
        <v>877.03373999999997</v>
      </c>
      <c r="I1741">
        <f t="shared" si="108"/>
        <v>0</v>
      </c>
      <c r="J1741">
        <f t="shared" si="109"/>
        <v>90.29571084748946</v>
      </c>
      <c r="K1741">
        <f t="shared" si="110"/>
        <v>0</v>
      </c>
      <c r="L1741">
        <f t="shared" si="111"/>
        <v>0</v>
      </c>
    </row>
    <row r="1742" spans="1:12" x14ac:dyDescent="0.35">
      <c r="A1742" s="1" t="s">
        <v>35</v>
      </c>
      <c r="B1742">
        <v>0.41782941899999998</v>
      </c>
      <c r="C1742">
        <v>7.6290999999999998E-3</v>
      </c>
      <c r="D1742">
        <v>0</v>
      </c>
      <c r="E1742">
        <v>0</v>
      </c>
      <c r="F1742">
        <v>0</v>
      </c>
      <c r="G1742">
        <v>877.60157000000004</v>
      </c>
      <c r="I1742">
        <f t="shared" si="108"/>
        <v>0.36543053893202671</v>
      </c>
      <c r="J1742">
        <f t="shared" si="109"/>
        <v>0</v>
      </c>
      <c r="K1742">
        <f t="shared" si="110"/>
        <v>0</v>
      </c>
      <c r="L1742">
        <f t="shared" si="111"/>
        <v>0</v>
      </c>
    </row>
    <row r="1743" spans="1:12" x14ac:dyDescent="0.35">
      <c r="A1743" s="1" t="s">
        <v>36</v>
      </c>
      <c r="B1743">
        <v>0.41782864199999997</v>
      </c>
      <c r="C1743">
        <v>5.4992000000000001E-3</v>
      </c>
      <c r="D1743">
        <v>0</v>
      </c>
      <c r="E1743">
        <v>0</v>
      </c>
      <c r="F1743">
        <v>0</v>
      </c>
      <c r="G1743">
        <v>878.01940000000002</v>
      </c>
      <c r="I1743">
        <f t="shared" si="108"/>
        <v>0.26340975432619773</v>
      </c>
      <c r="J1743">
        <f t="shared" si="109"/>
        <v>0</v>
      </c>
      <c r="K1743">
        <f t="shared" si="110"/>
        <v>0</v>
      </c>
      <c r="L1743">
        <f t="shared" si="111"/>
        <v>0</v>
      </c>
    </row>
    <row r="1744" spans="1:12" x14ac:dyDescent="0.35">
      <c r="A1744" s="1" t="s">
        <v>37</v>
      </c>
      <c r="B1744">
        <v>0.41782827500000003</v>
      </c>
      <c r="C1744">
        <v>4.1392E-3</v>
      </c>
      <c r="D1744">
        <v>0</v>
      </c>
      <c r="E1744">
        <v>0</v>
      </c>
      <c r="F1744">
        <v>0</v>
      </c>
      <c r="G1744">
        <v>878.43723</v>
      </c>
      <c r="I1744">
        <f t="shared" si="108"/>
        <v>0.19826640470947862</v>
      </c>
      <c r="J1744">
        <f t="shared" si="109"/>
        <v>0</v>
      </c>
      <c r="K1744">
        <f t="shared" si="110"/>
        <v>0</v>
      </c>
      <c r="L1744">
        <f t="shared" si="111"/>
        <v>0</v>
      </c>
    </row>
    <row r="1745" spans="1:12" x14ac:dyDescent="0.35">
      <c r="A1745" s="1" t="s">
        <v>38</v>
      </c>
      <c r="B1745">
        <v>0.41782808399999999</v>
      </c>
      <c r="C1745">
        <v>3.2192000000000002E-3</v>
      </c>
      <c r="D1745">
        <v>0</v>
      </c>
      <c r="E1745">
        <v>0</v>
      </c>
      <c r="F1745">
        <v>0</v>
      </c>
      <c r="G1745">
        <v>878.85505999999998</v>
      </c>
      <c r="I1745">
        <f t="shared" si="108"/>
        <v>0.15419875865034546</v>
      </c>
      <c r="J1745">
        <f t="shared" si="109"/>
        <v>0</v>
      </c>
      <c r="K1745">
        <f t="shared" si="110"/>
        <v>0</v>
      </c>
      <c r="L1745">
        <f t="shared" si="111"/>
        <v>0</v>
      </c>
    </row>
    <row r="1746" spans="1:12" x14ac:dyDescent="0.35">
      <c r="A1746" s="1" t="s">
        <v>39</v>
      </c>
      <c r="B1746">
        <v>0.41782794400000001</v>
      </c>
      <c r="C1746">
        <v>2.3392E-3</v>
      </c>
      <c r="D1746">
        <v>0</v>
      </c>
      <c r="E1746">
        <v>0</v>
      </c>
      <c r="F1746">
        <v>0</v>
      </c>
      <c r="G1746">
        <v>879.27288999999996</v>
      </c>
      <c r="I1746">
        <f t="shared" si="108"/>
        <v>0.11204704805350077</v>
      </c>
      <c r="J1746">
        <f t="shared" si="109"/>
        <v>0</v>
      </c>
      <c r="K1746">
        <f t="shared" si="110"/>
        <v>0</v>
      </c>
      <c r="L1746">
        <f t="shared" si="111"/>
        <v>0</v>
      </c>
    </row>
    <row r="1747" spans="1:12" x14ac:dyDescent="0.35">
      <c r="A1747" s="1" t="s">
        <v>79</v>
      </c>
      <c r="B1747">
        <v>0.21199999999999999</v>
      </c>
      <c r="C1747">
        <v>0</v>
      </c>
      <c r="D1747">
        <v>-2.53358734</v>
      </c>
      <c r="E1747">
        <v>0</v>
      </c>
      <c r="F1747">
        <v>0</v>
      </c>
      <c r="G1747">
        <v>879.53188999999998</v>
      </c>
      <c r="I1747">
        <f t="shared" si="108"/>
        <v>0</v>
      </c>
      <c r="J1747">
        <f t="shared" si="109"/>
        <v>-50.706825936458621</v>
      </c>
      <c r="K1747">
        <f t="shared" si="110"/>
        <v>0</v>
      </c>
      <c r="L1747">
        <f t="shared" si="111"/>
        <v>0</v>
      </c>
    </row>
    <row r="1748" spans="1:12" x14ac:dyDescent="0.35">
      <c r="A1748" s="1" t="s">
        <v>80</v>
      </c>
      <c r="B1748">
        <v>0.16600000000000001</v>
      </c>
      <c r="C1748">
        <v>0</v>
      </c>
      <c r="D1748">
        <v>0</v>
      </c>
      <c r="E1748">
        <v>-202.23429300000001</v>
      </c>
      <c r="F1748">
        <v>0</v>
      </c>
      <c r="G1748">
        <v>879.77288999999996</v>
      </c>
      <c r="I1748">
        <f t="shared" si="108"/>
        <v>0</v>
      </c>
      <c r="J1748">
        <f t="shared" si="109"/>
        <v>0</v>
      </c>
      <c r="K1748">
        <f t="shared" si="110"/>
        <v>-4047.4859230760812</v>
      </c>
      <c r="L1748">
        <f t="shared" si="111"/>
        <v>0</v>
      </c>
    </row>
    <row r="1749" spans="1:12" x14ac:dyDescent="0.35">
      <c r="A1749" s="1" t="s">
        <v>81</v>
      </c>
      <c r="B1749">
        <v>0.09</v>
      </c>
      <c r="C1749">
        <v>0</v>
      </c>
      <c r="D1749">
        <v>0</v>
      </c>
      <c r="E1749">
        <v>0</v>
      </c>
      <c r="F1749">
        <v>-13632</v>
      </c>
      <c r="G1749">
        <v>880.31374000000005</v>
      </c>
      <c r="I1749">
        <f t="shared" si="108"/>
        <v>0</v>
      </c>
      <c r="J1749">
        <f t="shared" si="109"/>
        <v>0</v>
      </c>
      <c r="K1749">
        <f t="shared" si="110"/>
        <v>0</v>
      </c>
      <c r="L1749">
        <f t="shared" si="111"/>
        <v>-272828.74375501258</v>
      </c>
    </row>
    <row r="1750" spans="1:12" x14ac:dyDescent="0.35">
      <c r="A1750" s="1" t="s">
        <v>82</v>
      </c>
      <c r="B1750">
        <v>0.21199999999999999</v>
      </c>
      <c r="C1750">
        <v>0</v>
      </c>
      <c r="D1750">
        <v>2.47240752</v>
      </c>
      <c r="E1750">
        <v>0</v>
      </c>
      <c r="F1750">
        <v>0</v>
      </c>
      <c r="G1750">
        <v>880.58573999999999</v>
      </c>
      <c r="I1750">
        <f t="shared" si="108"/>
        <v>0</v>
      </c>
      <c r="J1750">
        <f t="shared" si="109"/>
        <v>49.48238246273813</v>
      </c>
      <c r="K1750">
        <f t="shared" si="110"/>
        <v>0</v>
      </c>
      <c r="L1750">
        <f t="shared" si="111"/>
        <v>0</v>
      </c>
    </row>
    <row r="1751" spans="1:12" x14ac:dyDescent="0.35">
      <c r="A1751" s="1" t="s">
        <v>83</v>
      </c>
      <c r="B1751">
        <v>0.1</v>
      </c>
      <c r="C1751">
        <v>0</v>
      </c>
      <c r="D1751">
        <v>0</v>
      </c>
      <c r="E1751">
        <v>172.62799999999999</v>
      </c>
      <c r="F1751">
        <v>0</v>
      </c>
      <c r="G1751">
        <v>880.76074000000006</v>
      </c>
      <c r="I1751">
        <f t="shared" si="108"/>
        <v>0</v>
      </c>
      <c r="J1751">
        <f t="shared" si="109"/>
        <v>0</v>
      </c>
      <c r="K1751">
        <f t="shared" si="110"/>
        <v>3454.9501450220296</v>
      </c>
      <c r="L1751">
        <f t="shared" si="111"/>
        <v>0</v>
      </c>
    </row>
    <row r="1752" spans="1:12" x14ac:dyDescent="0.35">
      <c r="A1752" s="1" t="s">
        <v>83</v>
      </c>
      <c r="B1752">
        <v>0.1</v>
      </c>
      <c r="C1752">
        <v>0</v>
      </c>
      <c r="D1752">
        <v>0</v>
      </c>
      <c r="E1752">
        <v>172.62799999999999</v>
      </c>
      <c r="F1752">
        <v>0</v>
      </c>
      <c r="G1752">
        <f>0.1+880.76074</f>
        <v>880.86074000000008</v>
      </c>
      <c r="I1752">
        <f t="shared" si="108"/>
        <v>0</v>
      </c>
      <c r="J1752">
        <f t="shared" si="109"/>
        <v>0</v>
      </c>
      <c r="K1752">
        <f t="shared" si="110"/>
        <v>3454.9501450220296</v>
      </c>
      <c r="L1752">
        <f t="shared" si="111"/>
        <v>0</v>
      </c>
    </row>
    <row r="1753" spans="1:12" x14ac:dyDescent="0.35">
      <c r="A1753" s="1" t="s">
        <v>84</v>
      </c>
      <c r="B1753">
        <v>0.21199999999999999</v>
      </c>
      <c r="C1753">
        <v>0</v>
      </c>
      <c r="D1753">
        <v>2.47240752</v>
      </c>
      <c r="E1753">
        <v>0</v>
      </c>
      <c r="F1753">
        <v>0</v>
      </c>
      <c r="G1753">
        <v>881.14774</v>
      </c>
      <c r="I1753">
        <f t="shared" si="108"/>
        <v>0</v>
      </c>
      <c r="J1753">
        <f t="shared" si="109"/>
        <v>49.48238246273813</v>
      </c>
      <c r="K1753">
        <f t="shared" si="110"/>
        <v>0</v>
      </c>
      <c r="L1753">
        <f t="shared" si="111"/>
        <v>0</v>
      </c>
    </row>
    <row r="1754" spans="1:12" x14ac:dyDescent="0.35">
      <c r="A1754" s="1" t="s">
        <v>85</v>
      </c>
      <c r="B1754">
        <v>0.16600000000000001</v>
      </c>
      <c r="C1754">
        <v>0</v>
      </c>
      <c r="D1754">
        <v>0</v>
      </c>
      <c r="E1754">
        <v>-132.861086</v>
      </c>
      <c r="F1754">
        <v>0</v>
      </c>
      <c r="G1754">
        <v>881.91458999999998</v>
      </c>
      <c r="I1754">
        <f t="shared" si="108"/>
        <v>0</v>
      </c>
      <c r="J1754">
        <f t="shared" si="109"/>
        <v>0</v>
      </c>
      <c r="K1754">
        <f t="shared" si="110"/>
        <v>-2659.0612666744933</v>
      </c>
      <c r="L1754">
        <f t="shared" si="111"/>
        <v>0</v>
      </c>
    </row>
    <row r="1755" spans="1:12" x14ac:dyDescent="0.35">
      <c r="A1755" s="1" t="s">
        <v>86</v>
      </c>
      <c r="B1755">
        <v>0.21199999999999999</v>
      </c>
      <c r="C1755">
        <v>0</v>
      </c>
      <c r="D1755">
        <v>-2.3709669899999999</v>
      </c>
      <c r="E1755">
        <v>0</v>
      </c>
      <c r="F1755">
        <v>0</v>
      </c>
      <c r="G1755">
        <v>882.20159000000001</v>
      </c>
      <c r="I1755">
        <f t="shared" si="108"/>
        <v>0</v>
      </c>
      <c r="J1755">
        <f t="shared" si="109"/>
        <v>-47.452167353748784</v>
      </c>
      <c r="K1755">
        <f t="shared" si="110"/>
        <v>0</v>
      </c>
      <c r="L1755">
        <f t="shared" si="111"/>
        <v>0</v>
      </c>
    </row>
    <row r="1756" spans="1:12" x14ac:dyDescent="0.35">
      <c r="A1756" s="1" t="s">
        <v>48</v>
      </c>
      <c r="B1756">
        <v>0.41782794400000001</v>
      </c>
      <c r="C1756">
        <v>2.3392E-3</v>
      </c>
      <c r="D1756">
        <v>0</v>
      </c>
      <c r="E1756">
        <v>0</v>
      </c>
      <c r="F1756">
        <v>0</v>
      </c>
      <c r="G1756">
        <v>882.66642000000002</v>
      </c>
      <c r="I1756">
        <f t="shared" si="108"/>
        <v>0.11204704805350077</v>
      </c>
      <c r="J1756">
        <f t="shared" si="109"/>
        <v>0</v>
      </c>
      <c r="K1756">
        <f t="shared" si="110"/>
        <v>0</v>
      </c>
      <c r="L1756">
        <f t="shared" si="111"/>
        <v>0</v>
      </c>
    </row>
    <row r="1757" spans="1:12" x14ac:dyDescent="0.35">
      <c r="A1757" s="1" t="s">
        <v>49</v>
      </c>
      <c r="B1757">
        <v>0.41782808399999999</v>
      </c>
      <c r="C1757">
        <v>3.2192000000000002E-3</v>
      </c>
      <c r="D1757">
        <v>0</v>
      </c>
      <c r="E1757">
        <v>0</v>
      </c>
      <c r="F1757">
        <v>0</v>
      </c>
      <c r="G1757">
        <v>883.08425</v>
      </c>
      <c r="I1757">
        <f t="shared" si="108"/>
        <v>0.15419875865034546</v>
      </c>
      <c r="J1757">
        <f t="shared" si="109"/>
        <v>0</v>
      </c>
      <c r="K1757">
        <f t="shared" si="110"/>
        <v>0</v>
      </c>
      <c r="L1757">
        <f t="shared" si="111"/>
        <v>0</v>
      </c>
    </row>
    <row r="1758" spans="1:12" x14ac:dyDescent="0.35">
      <c r="A1758" s="1" t="s">
        <v>50</v>
      </c>
      <c r="B1758">
        <v>0.41782827500000003</v>
      </c>
      <c r="C1758">
        <v>4.1392E-3</v>
      </c>
      <c r="D1758">
        <v>0</v>
      </c>
      <c r="E1758">
        <v>0</v>
      </c>
      <c r="F1758">
        <v>0</v>
      </c>
      <c r="G1758">
        <v>883.50207999999998</v>
      </c>
      <c r="I1758">
        <f t="shared" si="108"/>
        <v>0.19826640470947862</v>
      </c>
      <c r="J1758">
        <f t="shared" si="109"/>
        <v>0</v>
      </c>
      <c r="K1758">
        <f t="shared" si="110"/>
        <v>0</v>
      </c>
      <c r="L1758">
        <f t="shared" si="111"/>
        <v>0</v>
      </c>
    </row>
    <row r="1759" spans="1:12" x14ac:dyDescent="0.35">
      <c r="A1759" s="1" t="s">
        <v>51</v>
      </c>
      <c r="B1759">
        <v>0.41782864199999997</v>
      </c>
      <c r="C1759">
        <v>5.4992000000000001E-3</v>
      </c>
      <c r="D1759">
        <v>0</v>
      </c>
      <c r="E1759">
        <v>0</v>
      </c>
      <c r="F1759">
        <v>0</v>
      </c>
      <c r="G1759">
        <v>883.91990999999996</v>
      </c>
      <c r="I1759">
        <f t="shared" si="108"/>
        <v>0.26340975432619773</v>
      </c>
      <c r="J1759">
        <f t="shared" si="109"/>
        <v>0</v>
      </c>
      <c r="K1759">
        <f t="shared" si="110"/>
        <v>0</v>
      </c>
      <c r="L1759">
        <f t="shared" si="111"/>
        <v>0</v>
      </c>
    </row>
    <row r="1760" spans="1:12" x14ac:dyDescent="0.35">
      <c r="A1760" s="1" t="s">
        <v>52</v>
      </c>
      <c r="B1760">
        <v>0.41783028900000002</v>
      </c>
      <c r="C1760">
        <v>9.4690999999999994E-3</v>
      </c>
      <c r="D1760">
        <v>0</v>
      </c>
      <c r="E1760">
        <v>0</v>
      </c>
      <c r="F1760">
        <v>0</v>
      </c>
      <c r="G1760">
        <v>884.33774000000005</v>
      </c>
      <c r="I1760">
        <f t="shared" si="108"/>
        <v>0.45356478630764774</v>
      </c>
      <c r="J1760">
        <f t="shared" si="109"/>
        <v>0</v>
      </c>
      <c r="K1760">
        <f t="shared" si="110"/>
        <v>0</v>
      </c>
      <c r="L1760">
        <f t="shared" si="111"/>
        <v>0</v>
      </c>
    </row>
    <row r="1761" spans="1:12" x14ac:dyDescent="0.35">
      <c r="A1761" s="1" t="s">
        <v>87</v>
      </c>
      <c r="B1761">
        <v>0.16200000000000001</v>
      </c>
      <c r="C1761">
        <v>0</v>
      </c>
      <c r="D1761">
        <v>-2.8698264299999998</v>
      </c>
      <c r="E1761">
        <v>0</v>
      </c>
      <c r="F1761">
        <v>0</v>
      </c>
      <c r="G1761">
        <v>884.54674</v>
      </c>
      <c r="I1761">
        <f t="shared" si="108"/>
        <v>0</v>
      </c>
      <c r="J1761">
        <f t="shared" si="109"/>
        <v>-57.436263181619168</v>
      </c>
      <c r="K1761">
        <f t="shared" si="110"/>
        <v>0</v>
      </c>
      <c r="L1761">
        <f t="shared" si="111"/>
        <v>0</v>
      </c>
    </row>
    <row r="1762" spans="1:12" x14ac:dyDescent="0.35">
      <c r="A1762" s="1" t="s">
        <v>54</v>
      </c>
      <c r="B1762">
        <v>0.1</v>
      </c>
      <c r="C1762">
        <v>0</v>
      </c>
      <c r="D1762">
        <v>0</v>
      </c>
      <c r="E1762">
        <v>0</v>
      </c>
      <c r="F1762">
        <v>0</v>
      </c>
      <c r="G1762">
        <v>884.87674000000004</v>
      </c>
      <c r="I1762">
        <f t="shared" si="108"/>
        <v>0</v>
      </c>
      <c r="J1762">
        <f t="shared" si="109"/>
        <v>0</v>
      </c>
      <c r="K1762">
        <f t="shared" si="110"/>
        <v>0</v>
      </c>
      <c r="L1762">
        <f t="shared" si="111"/>
        <v>0</v>
      </c>
    </row>
    <row r="1763" spans="1:12" x14ac:dyDescent="0.35">
      <c r="A1763" s="1" t="s">
        <v>88</v>
      </c>
      <c r="B1763">
        <v>0.29499999999999998</v>
      </c>
      <c r="C1763">
        <v>0</v>
      </c>
      <c r="D1763">
        <v>2.43875777</v>
      </c>
      <c r="E1763">
        <v>0</v>
      </c>
      <c r="F1763">
        <v>0</v>
      </c>
      <c r="G1763">
        <v>885.28174000000001</v>
      </c>
      <c r="I1763">
        <f t="shared" si="108"/>
        <v>0</v>
      </c>
      <c r="J1763">
        <f t="shared" si="109"/>
        <v>48.808921560436907</v>
      </c>
      <c r="K1763">
        <f t="shared" si="110"/>
        <v>0</v>
      </c>
      <c r="L1763">
        <f t="shared" si="111"/>
        <v>0</v>
      </c>
    </row>
    <row r="1764" spans="1:12" x14ac:dyDescent="0.35">
      <c r="A1764" s="1" t="s">
        <v>56</v>
      </c>
      <c r="B1764">
        <v>0.29499999999999998</v>
      </c>
      <c r="C1764">
        <v>0</v>
      </c>
      <c r="D1764">
        <v>2.43875777</v>
      </c>
      <c r="E1764">
        <v>0</v>
      </c>
      <c r="F1764">
        <v>0</v>
      </c>
      <c r="G1764">
        <v>891.15489000000002</v>
      </c>
      <c r="I1764">
        <f t="shared" si="108"/>
        <v>0</v>
      </c>
      <c r="J1764">
        <f t="shared" si="109"/>
        <v>48.808921560436907</v>
      </c>
      <c r="K1764">
        <f t="shared" si="110"/>
        <v>0</v>
      </c>
      <c r="L1764">
        <f t="shared" si="111"/>
        <v>0</v>
      </c>
    </row>
    <row r="1765" spans="1:12" x14ac:dyDescent="0.35">
      <c r="A1765" s="1" t="s">
        <v>2</v>
      </c>
      <c r="B1765">
        <v>0.1</v>
      </c>
      <c r="C1765">
        <v>0</v>
      </c>
      <c r="D1765">
        <v>0</v>
      </c>
      <c r="E1765">
        <v>0</v>
      </c>
      <c r="F1765">
        <v>0</v>
      </c>
      <c r="G1765">
        <v>891.36488999999995</v>
      </c>
      <c r="I1765">
        <f t="shared" si="108"/>
        <v>0</v>
      </c>
      <c r="J1765">
        <f t="shared" si="109"/>
        <v>0</v>
      </c>
      <c r="K1765">
        <f t="shared" si="110"/>
        <v>0</v>
      </c>
      <c r="L1765">
        <f t="shared" si="111"/>
        <v>0</v>
      </c>
    </row>
    <row r="1766" spans="1:12" x14ac:dyDescent="0.35">
      <c r="A1766" s="1" t="s">
        <v>57</v>
      </c>
      <c r="B1766">
        <v>0.16200000000000001</v>
      </c>
      <c r="C1766">
        <v>0</v>
      </c>
      <c r="D1766">
        <v>-2.8698264299999998</v>
      </c>
      <c r="E1766">
        <v>0</v>
      </c>
      <c r="F1766">
        <v>0</v>
      </c>
      <c r="G1766">
        <v>891.75689</v>
      </c>
      <c r="I1766">
        <f t="shared" si="108"/>
        <v>0</v>
      </c>
      <c r="J1766">
        <f t="shared" si="109"/>
        <v>-57.436263181619168</v>
      </c>
      <c r="K1766">
        <f t="shared" si="110"/>
        <v>0</v>
      </c>
      <c r="L1766">
        <f t="shared" si="111"/>
        <v>0</v>
      </c>
    </row>
    <row r="1767" spans="1:12" x14ac:dyDescent="0.35">
      <c r="A1767" s="1" t="s">
        <v>58</v>
      </c>
      <c r="B1767">
        <v>0.41783028900000002</v>
      </c>
      <c r="C1767">
        <v>9.4690999999999994E-3</v>
      </c>
      <c r="D1767">
        <v>0</v>
      </c>
      <c r="E1767">
        <v>0</v>
      </c>
      <c r="F1767">
        <v>0</v>
      </c>
      <c r="G1767">
        <v>892.22172</v>
      </c>
      <c r="I1767">
        <f t="shared" si="108"/>
        <v>0.45356478630764774</v>
      </c>
      <c r="J1767">
        <f t="shared" si="109"/>
        <v>0</v>
      </c>
      <c r="K1767">
        <f t="shared" si="110"/>
        <v>0</v>
      </c>
      <c r="L1767">
        <f t="shared" si="111"/>
        <v>0</v>
      </c>
    </row>
    <row r="1768" spans="1:12" x14ac:dyDescent="0.35">
      <c r="A1768" s="1" t="s">
        <v>59</v>
      </c>
      <c r="B1768">
        <v>0.41782864199999997</v>
      </c>
      <c r="C1768">
        <v>5.4992000000000001E-3</v>
      </c>
      <c r="D1768">
        <v>0</v>
      </c>
      <c r="E1768">
        <v>0</v>
      </c>
      <c r="F1768">
        <v>0</v>
      </c>
      <c r="G1768">
        <v>892.63954999999999</v>
      </c>
      <c r="I1768">
        <f t="shared" si="108"/>
        <v>0.26340975432619773</v>
      </c>
      <c r="J1768">
        <f t="shared" si="109"/>
        <v>0</v>
      </c>
      <c r="K1768">
        <f t="shared" si="110"/>
        <v>0</v>
      </c>
      <c r="L1768">
        <f t="shared" si="111"/>
        <v>0</v>
      </c>
    </row>
    <row r="1769" spans="1:12" x14ac:dyDescent="0.35">
      <c r="A1769" s="1" t="s">
        <v>60</v>
      </c>
      <c r="B1769">
        <v>0.41782827500000003</v>
      </c>
      <c r="C1769">
        <v>4.1392E-3</v>
      </c>
      <c r="D1769">
        <v>0</v>
      </c>
      <c r="E1769">
        <v>0</v>
      </c>
      <c r="F1769">
        <v>0</v>
      </c>
      <c r="G1769">
        <v>893.05737999999997</v>
      </c>
      <c r="I1769">
        <f t="shared" si="108"/>
        <v>0.19826640470947862</v>
      </c>
      <c r="J1769">
        <f t="shared" si="109"/>
        <v>0</v>
      </c>
      <c r="K1769">
        <f t="shared" si="110"/>
        <v>0</v>
      </c>
      <c r="L1769">
        <f t="shared" si="111"/>
        <v>0</v>
      </c>
    </row>
    <row r="1770" spans="1:12" x14ac:dyDescent="0.35">
      <c r="A1770" s="1" t="s">
        <v>61</v>
      </c>
      <c r="B1770">
        <v>0.41782808399999999</v>
      </c>
      <c r="C1770">
        <v>3.2192000000000002E-3</v>
      </c>
      <c r="D1770">
        <v>0</v>
      </c>
      <c r="E1770">
        <v>0</v>
      </c>
      <c r="F1770">
        <v>0</v>
      </c>
      <c r="G1770">
        <v>893.47519999999997</v>
      </c>
      <c r="I1770">
        <f t="shared" si="108"/>
        <v>0.15419875865034546</v>
      </c>
      <c r="J1770">
        <f t="shared" si="109"/>
        <v>0</v>
      </c>
      <c r="K1770">
        <f t="shared" si="110"/>
        <v>0</v>
      </c>
      <c r="L1770">
        <f t="shared" si="111"/>
        <v>0</v>
      </c>
    </row>
    <row r="1771" spans="1:12" x14ac:dyDescent="0.35">
      <c r="A1771" s="1" t="s">
        <v>62</v>
      </c>
      <c r="B1771">
        <v>0.41782794400000001</v>
      </c>
      <c r="C1771">
        <v>2.3392E-3</v>
      </c>
      <c r="D1771">
        <v>0</v>
      </c>
      <c r="E1771">
        <v>0</v>
      </c>
      <c r="F1771">
        <v>0</v>
      </c>
      <c r="G1771">
        <v>893.89302999999995</v>
      </c>
      <c r="I1771">
        <f t="shared" si="108"/>
        <v>0.11204704805350077</v>
      </c>
      <c r="J1771">
        <f t="shared" si="109"/>
        <v>0</v>
      </c>
      <c r="K1771">
        <f t="shared" si="110"/>
        <v>0</v>
      </c>
      <c r="L1771">
        <f t="shared" si="111"/>
        <v>0</v>
      </c>
    </row>
    <row r="1772" spans="1:12" x14ac:dyDescent="0.35">
      <c r="A1772" s="1" t="s">
        <v>63</v>
      </c>
      <c r="B1772">
        <v>0.21199999999999999</v>
      </c>
      <c r="C1772">
        <v>0</v>
      </c>
      <c r="D1772">
        <v>-2.3709669899999999</v>
      </c>
      <c r="E1772">
        <v>0</v>
      </c>
      <c r="F1772">
        <v>0</v>
      </c>
      <c r="G1772">
        <v>894.15202999999997</v>
      </c>
      <c r="I1772">
        <f t="shared" si="108"/>
        <v>0</v>
      </c>
      <c r="J1772">
        <f t="shared" si="109"/>
        <v>-47.452167353748784</v>
      </c>
      <c r="K1772">
        <f t="shared" si="110"/>
        <v>0</v>
      </c>
      <c r="L1772">
        <f t="shared" si="111"/>
        <v>0</v>
      </c>
    </row>
    <row r="1773" spans="1:12" x14ac:dyDescent="0.35">
      <c r="A1773" s="1" t="s">
        <v>64</v>
      </c>
      <c r="B1773">
        <v>0.16600000000000001</v>
      </c>
      <c r="C1773">
        <v>0</v>
      </c>
      <c r="D1773">
        <v>0</v>
      </c>
      <c r="E1773">
        <v>-132.861086</v>
      </c>
      <c r="F1773">
        <v>0</v>
      </c>
      <c r="G1773">
        <v>894.39302999999995</v>
      </c>
      <c r="I1773">
        <f t="shared" si="108"/>
        <v>0</v>
      </c>
      <c r="J1773">
        <f t="shared" si="109"/>
        <v>0</v>
      </c>
      <c r="K1773">
        <f t="shared" si="110"/>
        <v>-2659.0612666744933</v>
      </c>
      <c r="L1773">
        <f t="shared" si="111"/>
        <v>0</v>
      </c>
    </row>
    <row r="1774" spans="1:12" x14ac:dyDescent="0.35">
      <c r="A1774" s="1" t="s">
        <v>65</v>
      </c>
      <c r="B1774">
        <v>0.21199999999999999</v>
      </c>
      <c r="C1774">
        <v>0</v>
      </c>
      <c r="D1774">
        <v>2.47240752</v>
      </c>
      <c r="E1774">
        <v>0</v>
      </c>
      <c r="F1774">
        <v>0</v>
      </c>
      <c r="G1774">
        <v>895.20588999999995</v>
      </c>
      <c r="I1774">
        <f t="shared" si="108"/>
        <v>0</v>
      </c>
      <c r="J1774">
        <f t="shared" si="109"/>
        <v>49.48238246273813</v>
      </c>
      <c r="K1774">
        <f t="shared" si="110"/>
        <v>0</v>
      </c>
      <c r="L1774">
        <f t="shared" si="111"/>
        <v>0</v>
      </c>
    </row>
    <row r="1775" spans="1:12" x14ac:dyDescent="0.35">
      <c r="A1775" s="1" t="s">
        <v>66</v>
      </c>
      <c r="B1775">
        <v>0.1</v>
      </c>
      <c r="C1775">
        <v>0</v>
      </c>
      <c r="D1775">
        <v>0</v>
      </c>
      <c r="E1775">
        <v>172.62799999999999</v>
      </c>
      <c r="F1775">
        <v>0</v>
      </c>
      <c r="G1775">
        <v>895.38089000000002</v>
      </c>
      <c r="I1775">
        <f t="shared" si="108"/>
        <v>0</v>
      </c>
      <c r="J1775">
        <f t="shared" si="109"/>
        <v>0</v>
      </c>
      <c r="K1775">
        <f t="shared" si="110"/>
        <v>3454.9501450220296</v>
      </c>
      <c r="L1775">
        <f t="shared" si="111"/>
        <v>0</v>
      </c>
    </row>
    <row r="1776" spans="1:12" x14ac:dyDescent="0.35">
      <c r="A1776" s="1" t="s">
        <v>66</v>
      </c>
      <c r="B1776">
        <v>0.1</v>
      </c>
      <c r="C1776">
        <v>0</v>
      </c>
      <c r="D1776">
        <v>0</v>
      </c>
      <c r="E1776">
        <v>172.62799999999999</v>
      </c>
      <c r="F1776">
        <v>0</v>
      </c>
      <c r="G1776">
        <f>895.38089+0.1</f>
        <v>895.48089000000004</v>
      </c>
      <c r="I1776">
        <f t="shared" si="108"/>
        <v>0</v>
      </c>
      <c r="J1776">
        <f t="shared" si="109"/>
        <v>0</v>
      </c>
      <c r="K1776">
        <f t="shared" si="110"/>
        <v>3454.9501450220296</v>
      </c>
      <c r="L1776">
        <f t="shared" si="111"/>
        <v>0</v>
      </c>
    </row>
    <row r="1777" spans="1:12" x14ac:dyDescent="0.35">
      <c r="A1777" s="1" t="s">
        <v>67</v>
      </c>
      <c r="B1777">
        <v>0.21199999999999999</v>
      </c>
      <c r="C1777">
        <v>0</v>
      </c>
      <c r="D1777">
        <v>2.47240752</v>
      </c>
      <c r="E1777">
        <v>0</v>
      </c>
      <c r="F1777">
        <v>0</v>
      </c>
      <c r="G1777">
        <v>895.76788999999997</v>
      </c>
      <c r="I1777">
        <f t="shared" si="108"/>
        <v>0</v>
      </c>
      <c r="J1777">
        <f t="shared" si="109"/>
        <v>49.48238246273813</v>
      </c>
      <c r="K1777">
        <f t="shared" si="110"/>
        <v>0</v>
      </c>
      <c r="L1777">
        <f t="shared" si="111"/>
        <v>0</v>
      </c>
    </row>
    <row r="1778" spans="1:12" x14ac:dyDescent="0.35">
      <c r="A1778" s="1" t="s">
        <v>68</v>
      </c>
      <c r="B1778">
        <v>0.09</v>
      </c>
      <c r="C1778">
        <v>0</v>
      </c>
      <c r="D1778">
        <v>0</v>
      </c>
      <c r="E1778">
        <v>0</v>
      </c>
      <c r="F1778">
        <v>-13632</v>
      </c>
      <c r="G1778">
        <v>895.91789000000006</v>
      </c>
      <c r="I1778">
        <f t="shared" si="108"/>
        <v>0</v>
      </c>
      <c r="J1778">
        <f t="shared" si="109"/>
        <v>0</v>
      </c>
      <c r="K1778">
        <f t="shared" si="110"/>
        <v>0</v>
      </c>
      <c r="L1778">
        <f t="shared" si="111"/>
        <v>-272828.74375501258</v>
      </c>
    </row>
    <row r="1779" spans="1:12" x14ac:dyDescent="0.35">
      <c r="A1779" s="1" t="s">
        <v>69</v>
      </c>
      <c r="B1779">
        <v>0.16600000000000001</v>
      </c>
      <c r="C1779">
        <v>0</v>
      </c>
      <c r="D1779">
        <v>0</v>
      </c>
      <c r="E1779">
        <v>-202.23429300000001</v>
      </c>
      <c r="F1779">
        <v>0</v>
      </c>
      <c r="G1779">
        <v>896.53474000000006</v>
      </c>
      <c r="I1779">
        <f t="shared" si="108"/>
        <v>0</v>
      </c>
      <c r="J1779">
        <f t="shared" si="109"/>
        <v>0</v>
      </c>
      <c r="K1779">
        <f t="shared" si="110"/>
        <v>-4047.4859230760812</v>
      </c>
      <c r="L1779">
        <f t="shared" si="111"/>
        <v>0</v>
      </c>
    </row>
    <row r="1780" spans="1:12" x14ac:dyDescent="0.35">
      <c r="A1780" s="1" t="s">
        <v>70</v>
      </c>
      <c r="B1780">
        <v>0.21199999999999999</v>
      </c>
      <c r="C1780">
        <v>0</v>
      </c>
      <c r="D1780">
        <v>-2.53358734</v>
      </c>
      <c r="E1780">
        <v>0</v>
      </c>
      <c r="F1780">
        <v>0</v>
      </c>
      <c r="G1780">
        <v>896.82173999999998</v>
      </c>
      <c r="I1780">
        <f t="shared" si="108"/>
        <v>0</v>
      </c>
      <c r="J1780">
        <f t="shared" si="109"/>
        <v>-50.706825936458621</v>
      </c>
      <c r="K1780">
        <f t="shared" si="110"/>
        <v>0</v>
      </c>
      <c r="L1780">
        <f t="shared" si="111"/>
        <v>0</v>
      </c>
    </row>
    <row r="1781" spans="1:12" x14ac:dyDescent="0.35">
      <c r="A1781" s="1" t="s">
        <v>20</v>
      </c>
      <c r="B1781">
        <v>0.41782794400000001</v>
      </c>
      <c r="C1781">
        <v>2.3392E-3</v>
      </c>
      <c r="D1781">
        <v>0</v>
      </c>
      <c r="E1781">
        <v>0</v>
      </c>
      <c r="F1781">
        <v>0</v>
      </c>
      <c r="G1781">
        <v>897.28656999999998</v>
      </c>
      <c r="I1781">
        <f t="shared" si="108"/>
        <v>0.11204704805350077</v>
      </c>
      <c r="J1781">
        <f t="shared" si="109"/>
        <v>0</v>
      </c>
      <c r="K1781">
        <f t="shared" si="110"/>
        <v>0</v>
      </c>
      <c r="L1781">
        <f t="shared" si="111"/>
        <v>0</v>
      </c>
    </row>
    <row r="1782" spans="1:12" x14ac:dyDescent="0.35">
      <c r="A1782" s="1" t="s">
        <v>21</v>
      </c>
      <c r="B1782">
        <v>0.41782808399999999</v>
      </c>
      <c r="C1782">
        <v>3.2192000000000002E-3</v>
      </c>
      <c r="D1782">
        <v>0</v>
      </c>
      <c r="E1782">
        <v>0</v>
      </c>
      <c r="F1782">
        <v>0</v>
      </c>
      <c r="G1782">
        <v>897.70438999999999</v>
      </c>
      <c r="I1782">
        <f t="shared" si="108"/>
        <v>0.15419875865034546</v>
      </c>
      <c r="J1782">
        <f t="shared" si="109"/>
        <v>0</v>
      </c>
      <c r="K1782">
        <f t="shared" si="110"/>
        <v>0</v>
      </c>
      <c r="L1782">
        <f t="shared" si="111"/>
        <v>0</v>
      </c>
    </row>
    <row r="1783" spans="1:12" x14ac:dyDescent="0.35">
      <c r="A1783" s="1" t="s">
        <v>22</v>
      </c>
      <c r="B1783">
        <v>0.41782827500000003</v>
      </c>
      <c r="C1783">
        <v>4.1392E-3</v>
      </c>
      <c r="D1783">
        <v>0</v>
      </c>
      <c r="E1783">
        <v>0</v>
      </c>
      <c r="F1783">
        <v>0</v>
      </c>
      <c r="G1783">
        <v>898.12221999999997</v>
      </c>
      <c r="I1783">
        <f t="shared" si="108"/>
        <v>0.19826640470947862</v>
      </c>
      <c r="J1783">
        <f t="shared" si="109"/>
        <v>0</v>
      </c>
      <c r="K1783">
        <f t="shared" si="110"/>
        <v>0</v>
      </c>
      <c r="L1783">
        <f t="shared" si="111"/>
        <v>0</v>
      </c>
    </row>
    <row r="1784" spans="1:12" x14ac:dyDescent="0.35">
      <c r="A1784" s="1" t="s">
        <v>23</v>
      </c>
      <c r="B1784">
        <v>0.41782864199999997</v>
      </c>
      <c r="C1784">
        <v>5.4992000000000001E-3</v>
      </c>
      <c r="D1784">
        <v>0</v>
      </c>
      <c r="E1784">
        <v>0</v>
      </c>
      <c r="F1784">
        <v>0</v>
      </c>
      <c r="G1784">
        <v>898.54004999999995</v>
      </c>
      <c r="I1784">
        <f t="shared" si="108"/>
        <v>0.26340975432619773</v>
      </c>
      <c r="J1784">
        <f t="shared" si="109"/>
        <v>0</v>
      </c>
      <c r="K1784">
        <f t="shared" si="110"/>
        <v>0</v>
      </c>
      <c r="L1784">
        <f t="shared" si="111"/>
        <v>0</v>
      </c>
    </row>
    <row r="1785" spans="1:12" x14ac:dyDescent="0.35">
      <c r="A1785" s="1" t="s">
        <v>24</v>
      </c>
      <c r="B1785">
        <v>0.41782941899999998</v>
      </c>
      <c r="C1785">
        <v>7.6290999999999998E-3</v>
      </c>
      <c r="D1785">
        <v>0</v>
      </c>
      <c r="E1785">
        <v>0</v>
      </c>
      <c r="F1785">
        <v>0</v>
      </c>
      <c r="G1785">
        <v>898.95788000000005</v>
      </c>
      <c r="I1785">
        <f t="shared" si="108"/>
        <v>0.36543053893202671</v>
      </c>
      <c r="J1785">
        <f t="shared" si="109"/>
        <v>0</v>
      </c>
      <c r="K1785">
        <f t="shared" si="110"/>
        <v>0</v>
      </c>
      <c r="L1785">
        <f t="shared" si="111"/>
        <v>0</v>
      </c>
    </row>
    <row r="1786" spans="1:12" x14ac:dyDescent="0.35">
      <c r="A1786" s="1" t="s">
        <v>71</v>
      </c>
      <c r="B1786">
        <v>0.3745</v>
      </c>
      <c r="C1786">
        <v>0</v>
      </c>
      <c r="D1786">
        <v>4.5116622</v>
      </c>
      <c r="E1786">
        <v>0</v>
      </c>
      <c r="F1786">
        <v>0</v>
      </c>
      <c r="G1786">
        <v>899.48238000000003</v>
      </c>
      <c r="I1786">
        <f t="shared" si="108"/>
        <v>0</v>
      </c>
      <c r="J1786">
        <f t="shared" si="109"/>
        <v>90.29571084748946</v>
      </c>
      <c r="K1786">
        <f t="shared" si="110"/>
        <v>0</v>
      </c>
      <c r="L1786">
        <f t="shared" si="111"/>
        <v>0</v>
      </c>
    </row>
    <row r="1787" spans="1:12" x14ac:dyDescent="0.35">
      <c r="A1787" s="1" t="s">
        <v>72</v>
      </c>
      <c r="B1787">
        <v>1.0280365199999999</v>
      </c>
      <c r="C1787">
        <v>2.4767999999999998E-2</v>
      </c>
      <c r="D1787">
        <v>-1.929</v>
      </c>
      <c r="E1787">
        <v>0</v>
      </c>
      <c r="F1787">
        <v>0</v>
      </c>
      <c r="G1787">
        <v>900.60041999999999</v>
      </c>
      <c r="I1787">
        <f t="shared" si="108"/>
        <v>0.48218416286837618</v>
      </c>
      <c r="J1787">
        <f t="shared" si="109"/>
        <v>-38.606708238220314</v>
      </c>
      <c r="K1787">
        <f t="shared" si="110"/>
        <v>0</v>
      </c>
      <c r="L1787">
        <f t="shared" si="111"/>
        <v>0</v>
      </c>
    </row>
    <row r="1788" spans="1:12" x14ac:dyDescent="0.35">
      <c r="A1788" s="1" t="s">
        <v>73</v>
      </c>
      <c r="B1788">
        <v>0.4975</v>
      </c>
      <c r="C1788">
        <v>0</v>
      </c>
      <c r="D1788">
        <v>4.61414189</v>
      </c>
      <c r="E1788">
        <v>0</v>
      </c>
      <c r="F1788">
        <v>0</v>
      </c>
      <c r="G1788">
        <v>901.18791999999996</v>
      </c>
      <c r="I1788">
        <f t="shared" si="108"/>
        <v>0</v>
      </c>
      <c r="J1788">
        <f t="shared" si="109"/>
        <v>92.346723544313335</v>
      </c>
      <c r="K1788">
        <f t="shared" si="110"/>
        <v>0</v>
      </c>
      <c r="L1788">
        <f t="shared" si="111"/>
        <v>0</v>
      </c>
    </row>
    <row r="1789" spans="1:12" x14ac:dyDescent="0.35">
      <c r="A1789" s="1" t="s">
        <v>28</v>
      </c>
      <c r="B1789">
        <v>0.1</v>
      </c>
      <c r="C1789">
        <v>0</v>
      </c>
      <c r="D1789">
        <v>0</v>
      </c>
      <c r="E1789">
        <v>0</v>
      </c>
      <c r="F1789">
        <v>0</v>
      </c>
      <c r="G1789">
        <v>901.35898999999995</v>
      </c>
      <c r="I1789">
        <f t="shared" si="108"/>
        <v>0</v>
      </c>
      <c r="J1789">
        <f t="shared" si="109"/>
        <v>0</v>
      </c>
      <c r="K1789">
        <f t="shared" si="110"/>
        <v>0</v>
      </c>
      <c r="L1789">
        <f t="shared" si="111"/>
        <v>0</v>
      </c>
    </row>
    <row r="1790" spans="1:12" x14ac:dyDescent="0.35">
      <c r="A1790" s="1" t="s">
        <v>74</v>
      </c>
      <c r="B1790">
        <v>0.40000102700000001</v>
      </c>
      <c r="C1790">
        <v>5.2300999999999997E-3</v>
      </c>
      <c r="D1790">
        <v>-1.5815999999999999</v>
      </c>
      <c r="E1790">
        <v>0</v>
      </c>
      <c r="F1790">
        <v>0</v>
      </c>
      <c r="G1790">
        <v>901.85199</v>
      </c>
      <c r="I1790">
        <f t="shared" si="108"/>
        <v>0.26168536331815889</v>
      </c>
      <c r="J1790">
        <f t="shared" si="109"/>
        <v>-31.653898263125576</v>
      </c>
      <c r="K1790">
        <f t="shared" si="110"/>
        <v>0</v>
      </c>
      <c r="L1790">
        <f t="shared" si="111"/>
        <v>0</v>
      </c>
    </row>
    <row r="1791" spans="1:12" x14ac:dyDescent="0.35">
      <c r="A1791" s="1" t="s">
        <v>30</v>
      </c>
      <c r="B1791">
        <v>2.44294E-2</v>
      </c>
      <c r="C1791">
        <v>1.0499000000000001E-3</v>
      </c>
      <c r="D1791">
        <v>0</v>
      </c>
      <c r="E1791">
        <v>0</v>
      </c>
      <c r="F1791">
        <v>0</v>
      </c>
      <c r="G1791">
        <v>901.94691999999998</v>
      </c>
      <c r="I1791">
        <f t="shared" si="108"/>
        <v>0.8601331402616047</v>
      </c>
      <c r="J1791">
        <f t="shared" si="109"/>
        <v>0</v>
      </c>
      <c r="K1791">
        <f t="shared" si="110"/>
        <v>0</v>
      </c>
      <c r="L1791">
        <f t="shared" si="111"/>
        <v>0</v>
      </c>
    </row>
    <row r="1792" spans="1:12" x14ac:dyDescent="0.35">
      <c r="A1792" s="1" t="s">
        <v>30</v>
      </c>
      <c r="B1792">
        <v>2.44294E-2</v>
      </c>
      <c r="C1792">
        <v>1.0499000000000001E-3</v>
      </c>
      <c r="D1792">
        <v>0</v>
      </c>
      <c r="E1792">
        <v>0</v>
      </c>
      <c r="F1792">
        <v>0</v>
      </c>
      <c r="G1792">
        <f>901.94692+0.0244294</f>
        <v>901.97134940000001</v>
      </c>
      <c r="I1792">
        <f t="shared" si="108"/>
        <v>0.8601331402616047</v>
      </c>
      <c r="J1792">
        <f t="shared" si="109"/>
        <v>0</v>
      </c>
      <c r="K1792">
        <f t="shared" si="110"/>
        <v>0</v>
      </c>
      <c r="L1792">
        <f t="shared" si="111"/>
        <v>0</v>
      </c>
    </row>
    <row r="1793" spans="1:12" x14ac:dyDescent="0.35">
      <c r="A1793" s="1" t="s">
        <v>75</v>
      </c>
      <c r="B1793">
        <v>0.40000102700000001</v>
      </c>
      <c r="C1793">
        <v>5.2300999999999997E-3</v>
      </c>
      <c r="D1793">
        <v>-1.5815999999999999</v>
      </c>
      <c r="E1793">
        <v>0</v>
      </c>
      <c r="F1793">
        <v>0</v>
      </c>
      <c r="G1793">
        <v>902.44185000000004</v>
      </c>
      <c r="I1793">
        <f t="shared" si="108"/>
        <v>0.26168536331815889</v>
      </c>
      <c r="J1793">
        <f t="shared" si="109"/>
        <v>-31.653898263125576</v>
      </c>
      <c r="K1793">
        <f t="shared" si="110"/>
        <v>0</v>
      </c>
      <c r="L1793">
        <f t="shared" si="111"/>
        <v>0</v>
      </c>
    </row>
    <row r="1794" spans="1:12" x14ac:dyDescent="0.35">
      <c r="A1794" s="1" t="s">
        <v>76</v>
      </c>
      <c r="B1794">
        <v>0.4975</v>
      </c>
      <c r="C1794">
        <v>0</v>
      </c>
      <c r="D1794">
        <v>4.61414189</v>
      </c>
      <c r="E1794">
        <v>0</v>
      </c>
      <c r="F1794">
        <v>0</v>
      </c>
      <c r="G1794">
        <v>903.20342000000005</v>
      </c>
      <c r="I1794">
        <f t="shared" si="108"/>
        <v>0</v>
      </c>
      <c r="J1794">
        <f t="shared" si="109"/>
        <v>92.346723544313335</v>
      </c>
      <c r="K1794">
        <f t="shared" si="110"/>
        <v>0</v>
      </c>
      <c r="L1794">
        <f t="shared" si="111"/>
        <v>0</v>
      </c>
    </row>
    <row r="1795" spans="1:12" x14ac:dyDescent="0.35">
      <c r="A1795" s="1" t="s">
        <v>77</v>
      </c>
      <c r="B1795">
        <v>1.0280365199999999</v>
      </c>
      <c r="C1795">
        <v>2.4767999999999998E-2</v>
      </c>
      <c r="D1795">
        <v>-1.929</v>
      </c>
      <c r="E1795">
        <v>0</v>
      </c>
      <c r="F1795">
        <v>0</v>
      </c>
      <c r="G1795">
        <v>904.32146</v>
      </c>
      <c r="I1795">
        <f t="shared" si="108"/>
        <v>0.48218416286837618</v>
      </c>
      <c r="J1795">
        <f t="shared" si="109"/>
        <v>-38.606708238220314</v>
      </c>
      <c r="K1795">
        <f t="shared" si="110"/>
        <v>0</v>
      </c>
      <c r="L1795">
        <f t="shared" si="111"/>
        <v>0</v>
      </c>
    </row>
    <row r="1796" spans="1:12" x14ac:dyDescent="0.35">
      <c r="A1796" s="1" t="s">
        <v>78</v>
      </c>
      <c r="B1796">
        <v>0.3745</v>
      </c>
      <c r="C1796">
        <v>0</v>
      </c>
      <c r="D1796">
        <v>4.5116622</v>
      </c>
      <c r="E1796">
        <v>0</v>
      </c>
      <c r="F1796">
        <v>0</v>
      </c>
      <c r="G1796">
        <v>904.78596000000005</v>
      </c>
      <c r="I1796">
        <f t="shared" ref="I1796:I1859" si="112">$H$2*$C1796/$B1796</f>
        <v>0</v>
      </c>
      <c r="J1796">
        <f t="shared" ref="J1796:J1859" si="113">$H$2*$D1796</f>
        <v>90.29571084748946</v>
      </c>
      <c r="K1796">
        <f t="shared" ref="K1796:K1859" si="114">$H$2*$E1796</f>
        <v>0</v>
      </c>
      <c r="L1796">
        <f t="shared" ref="L1796:L1859" si="115">$H$2*$F1796</f>
        <v>0</v>
      </c>
    </row>
    <row r="1797" spans="1:12" x14ac:dyDescent="0.35">
      <c r="A1797" s="1" t="s">
        <v>35</v>
      </c>
      <c r="B1797">
        <v>0.41782941899999998</v>
      </c>
      <c r="C1797">
        <v>7.6290999999999998E-3</v>
      </c>
      <c r="D1797">
        <v>0</v>
      </c>
      <c r="E1797">
        <v>0</v>
      </c>
      <c r="F1797">
        <v>0</v>
      </c>
      <c r="G1797">
        <v>905.35379</v>
      </c>
      <c r="I1797">
        <f t="shared" si="112"/>
        <v>0.36543053893202671</v>
      </c>
      <c r="J1797">
        <f t="shared" si="113"/>
        <v>0</v>
      </c>
      <c r="K1797">
        <f t="shared" si="114"/>
        <v>0</v>
      </c>
      <c r="L1797">
        <f t="shared" si="115"/>
        <v>0</v>
      </c>
    </row>
    <row r="1798" spans="1:12" x14ac:dyDescent="0.35">
      <c r="A1798" s="1" t="s">
        <v>36</v>
      </c>
      <c r="B1798">
        <v>0.41782864199999997</v>
      </c>
      <c r="C1798">
        <v>5.4992000000000001E-3</v>
      </c>
      <c r="D1798">
        <v>0</v>
      </c>
      <c r="E1798">
        <v>0</v>
      </c>
      <c r="F1798">
        <v>0</v>
      </c>
      <c r="G1798">
        <v>905.77161000000001</v>
      </c>
      <c r="I1798">
        <f t="shared" si="112"/>
        <v>0.26340975432619773</v>
      </c>
      <c r="J1798">
        <f t="shared" si="113"/>
        <v>0</v>
      </c>
      <c r="K1798">
        <f t="shared" si="114"/>
        <v>0</v>
      </c>
      <c r="L1798">
        <f t="shared" si="115"/>
        <v>0</v>
      </c>
    </row>
    <row r="1799" spans="1:12" x14ac:dyDescent="0.35">
      <c r="A1799" s="1" t="s">
        <v>37</v>
      </c>
      <c r="B1799">
        <v>0.41782827500000003</v>
      </c>
      <c r="C1799">
        <v>4.1392E-3</v>
      </c>
      <c r="D1799">
        <v>0</v>
      </c>
      <c r="E1799">
        <v>0</v>
      </c>
      <c r="F1799">
        <v>0</v>
      </c>
      <c r="G1799">
        <v>906.18943999999999</v>
      </c>
      <c r="I1799">
        <f t="shared" si="112"/>
        <v>0.19826640470947862</v>
      </c>
      <c r="J1799">
        <f t="shared" si="113"/>
        <v>0</v>
      </c>
      <c r="K1799">
        <f t="shared" si="114"/>
        <v>0</v>
      </c>
      <c r="L1799">
        <f t="shared" si="115"/>
        <v>0</v>
      </c>
    </row>
    <row r="1800" spans="1:12" x14ac:dyDescent="0.35">
      <c r="A1800" s="1" t="s">
        <v>38</v>
      </c>
      <c r="B1800">
        <v>0.41782808399999999</v>
      </c>
      <c r="C1800">
        <v>3.2192000000000002E-3</v>
      </c>
      <c r="D1800">
        <v>0</v>
      </c>
      <c r="E1800">
        <v>0</v>
      </c>
      <c r="F1800">
        <v>0</v>
      </c>
      <c r="G1800">
        <v>906.60726999999997</v>
      </c>
      <c r="I1800">
        <f t="shared" si="112"/>
        <v>0.15419875865034546</v>
      </c>
      <c r="J1800">
        <f t="shared" si="113"/>
        <v>0</v>
      </c>
      <c r="K1800">
        <f t="shared" si="114"/>
        <v>0</v>
      </c>
      <c r="L1800">
        <f t="shared" si="115"/>
        <v>0</v>
      </c>
    </row>
    <row r="1801" spans="1:12" x14ac:dyDescent="0.35">
      <c r="A1801" s="1" t="s">
        <v>39</v>
      </c>
      <c r="B1801">
        <v>0.41782794400000001</v>
      </c>
      <c r="C1801">
        <v>2.3392E-3</v>
      </c>
      <c r="D1801">
        <v>0</v>
      </c>
      <c r="E1801">
        <v>0</v>
      </c>
      <c r="F1801">
        <v>0</v>
      </c>
      <c r="G1801">
        <v>907.02509999999995</v>
      </c>
      <c r="I1801">
        <f t="shared" si="112"/>
        <v>0.11204704805350077</v>
      </c>
      <c r="J1801">
        <f t="shared" si="113"/>
        <v>0</v>
      </c>
      <c r="K1801">
        <f t="shared" si="114"/>
        <v>0</v>
      </c>
      <c r="L1801">
        <f t="shared" si="115"/>
        <v>0</v>
      </c>
    </row>
    <row r="1802" spans="1:12" x14ac:dyDescent="0.35">
      <c r="A1802" s="1" t="s">
        <v>79</v>
      </c>
      <c r="B1802">
        <v>0.21199999999999999</v>
      </c>
      <c r="C1802">
        <v>0</v>
      </c>
      <c r="D1802">
        <v>-2.53358734</v>
      </c>
      <c r="E1802">
        <v>0</v>
      </c>
      <c r="F1802">
        <v>0</v>
      </c>
      <c r="G1802">
        <v>907.28409999999997</v>
      </c>
      <c r="I1802">
        <f t="shared" si="112"/>
        <v>0</v>
      </c>
      <c r="J1802">
        <f t="shared" si="113"/>
        <v>-50.706825936458621</v>
      </c>
      <c r="K1802">
        <f t="shared" si="114"/>
        <v>0</v>
      </c>
      <c r="L1802">
        <f t="shared" si="115"/>
        <v>0</v>
      </c>
    </row>
    <row r="1803" spans="1:12" x14ac:dyDescent="0.35">
      <c r="A1803" s="1" t="s">
        <v>80</v>
      </c>
      <c r="B1803">
        <v>0.16600000000000001</v>
      </c>
      <c r="C1803">
        <v>0</v>
      </c>
      <c r="D1803">
        <v>0</v>
      </c>
      <c r="E1803">
        <v>-202.23429300000001</v>
      </c>
      <c r="F1803">
        <v>0</v>
      </c>
      <c r="G1803">
        <v>907.52509999999995</v>
      </c>
      <c r="I1803">
        <f t="shared" si="112"/>
        <v>0</v>
      </c>
      <c r="J1803">
        <f t="shared" si="113"/>
        <v>0</v>
      </c>
      <c r="K1803">
        <f t="shared" si="114"/>
        <v>-4047.4859230760812</v>
      </c>
      <c r="L1803">
        <f t="shared" si="115"/>
        <v>0</v>
      </c>
    </row>
    <row r="1804" spans="1:12" x14ac:dyDescent="0.35">
      <c r="A1804" s="1" t="s">
        <v>81</v>
      </c>
      <c r="B1804">
        <v>0.09</v>
      </c>
      <c r="C1804">
        <v>0</v>
      </c>
      <c r="D1804">
        <v>0</v>
      </c>
      <c r="E1804">
        <v>0</v>
      </c>
      <c r="F1804">
        <v>-13632</v>
      </c>
      <c r="G1804">
        <v>908.06595000000004</v>
      </c>
      <c r="I1804">
        <f t="shared" si="112"/>
        <v>0</v>
      </c>
      <c r="J1804">
        <f t="shared" si="113"/>
        <v>0</v>
      </c>
      <c r="K1804">
        <f t="shared" si="114"/>
        <v>0</v>
      </c>
      <c r="L1804">
        <f t="shared" si="115"/>
        <v>-272828.74375501258</v>
      </c>
    </row>
    <row r="1805" spans="1:12" x14ac:dyDescent="0.35">
      <c r="A1805" s="1" t="s">
        <v>82</v>
      </c>
      <c r="B1805">
        <v>0.21199999999999999</v>
      </c>
      <c r="C1805">
        <v>0</v>
      </c>
      <c r="D1805">
        <v>2.47240752</v>
      </c>
      <c r="E1805">
        <v>0</v>
      </c>
      <c r="F1805">
        <v>0</v>
      </c>
      <c r="G1805">
        <v>908.33794999999998</v>
      </c>
      <c r="I1805">
        <f t="shared" si="112"/>
        <v>0</v>
      </c>
      <c r="J1805">
        <f t="shared" si="113"/>
        <v>49.48238246273813</v>
      </c>
      <c r="K1805">
        <f t="shared" si="114"/>
        <v>0</v>
      </c>
      <c r="L1805">
        <f t="shared" si="115"/>
        <v>0</v>
      </c>
    </row>
    <row r="1806" spans="1:12" x14ac:dyDescent="0.35">
      <c r="A1806" s="1" t="s">
        <v>83</v>
      </c>
      <c r="B1806">
        <v>0.1</v>
      </c>
      <c r="C1806">
        <v>0</v>
      </c>
      <c r="D1806">
        <v>0</v>
      </c>
      <c r="E1806">
        <v>172.62799999999999</v>
      </c>
      <c r="F1806">
        <v>0</v>
      </c>
      <c r="G1806">
        <v>908.51295000000005</v>
      </c>
      <c r="I1806">
        <f t="shared" si="112"/>
        <v>0</v>
      </c>
      <c r="J1806">
        <f t="shared" si="113"/>
        <v>0</v>
      </c>
      <c r="K1806">
        <f t="shared" si="114"/>
        <v>3454.9501450220296</v>
      </c>
      <c r="L1806">
        <f t="shared" si="115"/>
        <v>0</v>
      </c>
    </row>
    <row r="1807" spans="1:12" x14ac:dyDescent="0.35">
      <c r="A1807" s="1" t="s">
        <v>83</v>
      </c>
      <c r="B1807">
        <v>0.1</v>
      </c>
      <c r="C1807">
        <v>0</v>
      </c>
      <c r="D1807">
        <v>0</v>
      </c>
      <c r="E1807">
        <v>172.62799999999999</v>
      </c>
      <c r="F1807">
        <v>0</v>
      </c>
      <c r="G1807">
        <f>0.1+908.51295</f>
        <v>908.61295000000007</v>
      </c>
      <c r="I1807">
        <f t="shared" si="112"/>
        <v>0</v>
      </c>
      <c r="J1807">
        <f t="shared" si="113"/>
        <v>0</v>
      </c>
      <c r="K1807">
        <f t="shared" si="114"/>
        <v>3454.9501450220296</v>
      </c>
      <c r="L1807">
        <f t="shared" si="115"/>
        <v>0</v>
      </c>
    </row>
    <row r="1808" spans="1:12" x14ac:dyDescent="0.35">
      <c r="A1808" s="1" t="s">
        <v>84</v>
      </c>
      <c r="B1808">
        <v>0.21199999999999999</v>
      </c>
      <c r="C1808">
        <v>0</v>
      </c>
      <c r="D1808">
        <v>2.47240752</v>
      </c>
      <c r="E1808">
        <v>0</v>
      </c>
      <c r="F1808">
        <v>0</v>
      </c>
      <c r="G1808">
        <v>908.89994999999999</v>
      </c>
      <c r="I1808">
        <f t="shared" si="112"/>
        <v>0</v>
      </c>
      <c r="J1808">
        <f t="shared" si="113"/>
        <v>49.48238246273813</v>
      </c>
      <c r="K1808">
        <f t="shared" si="114"/>
        <v>0</v>
      </c>
      <c r="L1808">
        <f t="shared" si="115"/>
        <v>0</v>
      </c>
    </row>
    <row r="1809" spans="1:12" x14ac:dyDescent="0.35">
      <c r="A1809" s="1" t="s">
        <v>85</v>
      </c>
      <c r="B1809">
        <v>0.16600000000000001</v>
      </c>
      <c r="C1809">
        <v>0</v>
      </c>
      <c r="D1809">
        <v>0</v>
      </c>
      <c r="E1809">
        <v>-132.861086</v>
      </c>
      <c r="F1809">
        <v>0</v>
      </c>
      <c r="G1809">
        <v>909.66681000000005</v>
      </c>
      <c r="I1809">
        <f t="shared" si="112"/>
        <v>0</v>
      </c>
      <c r="J1809">
        <f t="shared" si="113"/>
        <v>0</v>
      </c>
      <c r="K1809">
        <f t="shared" si="114"/>
        <v>-2659.0612666744933</v>
      </c>
      <c r="L1809">
        <f t="shared" si="115"/>
        <v>0</v>
      </c>
    </row>
    <row r="1810" spans="1:12" x14ac:dyDescent="0.35">
      <c r="A1810" s="1" t="s">
        <v>86</v>
      </c>
      <c r="B1810">
        <v>0.21199999999999999</v>
      </c>
      <c r="C1810">
        <v>0</v>
      </c>
      <c r="D1810">
        <v>-2.3709669899999999</v>
      </c>
      <c r="E1810">
        <v>0</v>
      </c>
      <c r="F1810">
        <v>0</v>
      </c>
      <c r="G1810">
        <v>909.95380999999998</v>
      </c>
      <c r="I1810">
        <f t="shared" si="112"/>
        <v>0</v>
      </c>
      <c r="J1810">
        <f t="shared" si="113"/>
        <v>-47.452167353748784</v>
      </c>
      <c r="K1810">
        <f t="shared" si="114"/>
        <v>0</v>
      </c>
      <c r="L1810">
        <f t="shared" si="115"/>
        <v>0</v>
      </c>
    </row>
    <row r="1811" spans="1:12" x14ac:dyDescent="0.35">
      <c r="A1811" s="1" t="s">
        <v>48</v>
      </c>
      <c r="B1811">
        <v>0.41782794400000001</v>
      </c>
      <c r="C1811">
        <v>2.3392E-3</v>
      </c>
      <c r="D1811">
        <v>0</v>
      </c>
      <c r="E1811">
        <v>0</v>
      </c>
      <c r="F1811">
        <v>0</v>
      </c>
      <c r="G1811">
        <v>910.41863000000001</v>
      </c>
      <c r="I1811">
        <f t="shared" si="112"/>
        <v>0.11204704805350077</v>
      </c>
      <c r="J1811">
        <f t="shared" si="113"/>
        <v>0</v>
      </c>
      <c r="K1811">
        <f t="shared" si="114"/>
        <v>0</v>
      </c>
      <c r="L1811">
        <f t="shared" si="115"/>
        <v>0</v>
      </c>
    </row>
    <row r="1812" spans="1:12" x14ac:dyDescent="0.35">
      <c r="A1812" s="1" t="s">
        <v>49</v>
      </c>
      <c r="B1812">
        <v>0.41782808399999999</v>
      </c>
      <c r="C1812">
        <v>3.2192000000000002E-3</v>
      </c>
      <c r="D1812">
        <v>0</v>
      </c>
      <c r="E1812">
        <v>0</v>
      </c>
      <c r="F1812">
        <v>0</v>
      </c>
      <c r="G1812">
        <v>910.83645999999999</v>
      </c>
      <c r="I1812">
        <f t="shared" si="112"/>
        <v>0.15419875865034546</v>
      </c>
      <c r="J1812">
        <f t="shared" si="113"/>
        <v>0</v>
      </c>
      <c r="K1812">
        <f t="shared" si="114"/>
        <v>0</v>
      </c>
      <c r="L1812">
        <f t="shared" si="115"/>
        <v>0</v>
      </c>
    </row>
    <row r="1813" spans="1:12" x14ac:dyDescent="0.35">
      <c r="A1813" s="1" t="s">
        <v>50</v>
      </c>
      <c r="B1813">
        <v>0.41782827500000003</v>
      </c>
      <c r="C1813">
        <v>4.1392E-3</v>
      </c>
      <c r="D1813">
        <v>0</v>
      </c>
      <c r="E1813">
        <v>0</v>
      </c>
      <c r="F1813">
        <v>0</v>
      </c>
      <c r="G1813">
        <v>911.25428999999997</v>
      </c>
      <c r="I1813">
        <f t="shared" si="112"/>
        <v>0.19826640470947862</v>
      </c>
      <c r="J1813">
        <f t="shared" si="113"/>
        <v>0</v>
      </c>
      <c r="K1813">
        <f t="shared" si="114"/>
        <v>0</v>
      </c>
      <c r="L1813">
        <f t="shared" si="115"/>
        <v>0</v>
      </c>
    </row>
    <row r="1814" spans="1:12" x14ac:dyDescent="0.35">
      <c r="A1814" s="1" t="s">
        <v>51</v>
      </c>
      <c r="B1814">
        <v>0.41782864199999997</v>
      </c>
      <c r="C1814">
        <v>5.4992000000000001E-3</v>
      </c>
      <c r="D1814">
        <v>0</v>
      </c>
      <c r="E1814">
        <v>0</v>
      </c>
      <c r="F1814">
        <v>0</v>
      </c>
      <c r="G1814">
        <v>911.67211999999995</v>
      </c>
      <c r="I1814">
        <f t="shared" si="112"/>
        <v>0.26340975432619773</v>
      </c>
      <c r="J1814">
        <f t="shared" si="113"/>
        <v>0</v>
      </c>
      <c r="K1814">
        <f t="shared" si="114"/>
        <v>0</v>
      </c>
      <c r="L1814">
        <f t="shared" si="115"/>
        <v>0</v>
      </c>
    </row>
    <row r="1815" spans="1:12" x14ac:dyDescent="0.35">
      <c r="A1815" s="1" t="s">
        <v>52</v>
      </c>
      <c r="B1815">
        <v>0.41783028900000002</v>
      </c>
      <c r="C1815">
        <v>9.4690999999999994E-3</v>
      </c>
      <c r="D1815">
        <v>0</v>
      </c>
      <c r="E1815">
        <v>0</v>
      </c>
      <c r="F1815">
        <v>0</v>
      </c>
      <c r="G1815">
        <v>912.08995000000004</v>
      </c>
      <c r="I1815">
        <f t="shared" si="112"/>
        <v>0.45356478630764774</v>
      </c>
      <c r="J1815">
        <f t="shared" si="113"/>
        <v>0</v>
      </c>
      <c r="K1815">
        <f t="shared" si="114"/>
        <v>0</v>
      </c>
      <c r="L1815">
        <f t="shared" si="115"/>
        <v>0</v>
      </c>
    </row>
    <row r="1816" spans="1:12" x14ac:dyDescent="0.35">
      <c r="A1816" s="1" t="s">
        <v>87</v>
      </c>
      <c r="B1816">
        <v>0.16200000000000001</v>
      </c>
      <c r="C1816">
        <v>0</v>
      </c>
      <c r="D1816">
        <v>-2.8698264299999998</v>
      </c>
      <c r="E1816">
        <v>0</v>
      </c>
      <c r="F1816">
        <v>0</v>
      </c>
      <c r="G1816">
        <v>912.29894999999999</v>
      </c>
      <c r="I1816">
        <f t="shared" si="112"/>
        <v>0</v>
      </c>
      <c r="J1816">
        <f t="shared" si="113"/>
        <v>-57.436263181619168</v>
      </c>
      <c r="K1816">
        <f t="shared" si="114"/>
        <v>0</v>
      </c>
      <c r="L1816">
        <f t="shared" si="115"/>
        <v>0</v>
      </c>
    </row>
    <row r="1817" spans="1:12" x14ac:dyDescent="0.35">
      <c r="A1817" s="1" t="s">
        <v>54</v>
      </c>
      <c r="B1817">
        <v>0.1</v>
      </c>
      <c r="C1817">
        <v>0</v>
      </c>
      <c r="D1817">
        <v>0</v>
      </c>
      <c r="E1817">
        <v>0</v>
      </c>
      <c r="F1817">
        <v>0</v>
      </c>
      <c r="G1817">
        <v>912.62895000000003</v>
      </c>
      <c r="I1817">
        <f t="shared" si="112"/>
        <v>0</v>
      </c>
      <c r="J1817">
        <f t="shared" si="113"/>
        <v>0</v>
      </c>
      <c r="K1817">
        <f t="shared" si="114"/>
        <v>0</v>
      </c>
      <c r="L1817">
        <f t="shared" si="115"/>
        <v>0</v>
      </c>
    </row>
    <row r="1818" spans="1:12" x14ac:dyDescent="0.35">
      <c r="A1818" s="1" t="s">
        <v>88</v>
      </c>
      <c r="B1818">
        <v>0.29499999999999998</v>
      </c>
      <c r="C1818">
        <v>0</v>
      </c>
      <c r="D1818">
        <v>2.43875777</v>
      </c>
      <c r="E1818">
        <v>0</v>
      </c>
      <c r="F1818">
        <v>0</v>
      </c>
      <c r="G1818">
        <v>913.03395</v>
      </c>
      <c r="I1818">
        <f t="shared" si="112"/>
        <v>0</v>
      </c>
      <c r="J1818">
        <f t="shared" si="113"/>
        <v>48.808921560436907</v>
      </c>
      <c r="K1818">
        <f t="shared" si="114"/>
        <v>0</v>
      </c>
      <c r="L1818">
        <f t="shared" si="115"/>
        <v>0</v>
      </c>
    </row>
    <row r="1819" spans="1:12" x14ac:dyDescent="0.35">
      <c r="A1819" s="1" t="s">
        <v>56</v>
      </c>
      <c r="B1819">
        <v>0.29499999999999998</v>
      </c>
      <c r="C1819">
        <v>0</v>
      </c>
      <c r="D1819">
        <v>2.43875777</v>
      </c>
      <c r="E1819">
        <v>0</v>
      </c>
      <c r="F1819">
        <v>0</v>
      </c>
      <c r="G1819">
        <v>918.90710000000001</v>
      </c>
      <c r="I1819">
        <f t="shared" si="112"/>
        <v>0</v>
      </c>
      <c r="J1819">
        <f t="shared" si="113"/>
        <v>48.808921560436907</v>
      </c>
      <c r="K1819">
        <f t="shared" si="114"/>
        <v>0</v>
      </c>
      <c r="L1819">
        <f t="shared" si="115"/>
        <v>0</v>
      </c>
    </row>
    <row r="1820" spans="1:12" x14ac:dyDescent="0.35">
      <c r="A1820" s="1" t="s">
        <v>2</v>
      </c>
      <c r="B1820">
        <v>0.1</v>
      </c>
      <c r="C1820">
        <v>0</v>
      </c>
      <c r="D1820">
        <v>0</v>
      </c>
      <c r="E1820">
        <v>0</v>
      </c>
      <c r="F1820">
        <v>0</v>
      </c>
      <c r="G1820">
        <v>919.11710000000005</v>
      </c>
      <c r="I1820">
        <f t="shared" si="112"/>
        <v>0</v>
      </c>
      <c r="J1820">
        <f t="shared" si="113"/>
        <v>0</v>
      </c>
      <c r="K1820">
        <f t="shared" si="114"/>
        <v>0</v>
      </c>
      <c r="L1820">
        <f t="shared" si="115"/>
        <v>0</v>
      </c>
    </row>
    <row r="1821" spans="1:12" x14ac:dyDescent="0.35">
      <c r="A1821" s="1" t="s">
        <v>57</v>
      </c>
      <c r="B1821">
        <v>0.16200000000000001</v>
      </c>
      <c r="C1821">
        <v>0</v>
      </c>
      <c r="D1821">
        <v>-2.8698264299999998</v>
      </c>
      <c r="E1821">
        <v>0</v>
      </c>
      <c r="F1821">
        <v>0</v>
      </c>
      <c r="G1821">
        <v>919.50909999999999</v>
      </c>
      <c r="I1821">
        <f t="shared" si="112"/>
        <v>0</v>
      </c>
      <c r="J1821">
        <f t="shared" si="113"/>
        <v>-57.436263181619168</v>
      </c>
      <c r="K1821">
        <f t="shared" si="114"/>
        <v>0</v>
      </c>
      <c r="L1821">
        <f t="shared" si="115"/>
        <v>0</v>
      </c>
    </row>
    <row r="1822" spans="1:12" x14ac:dyDescent="0.35">
      <c r="A1822" s="1" t="s">
        <v>58</v>
      </c>
      <c r="B1822">
        <v>0.41783028900000002</v>
      </c>
      <c r="C1822">
        <v>9.4690999999999994E-3</v>
      </c>
      <c r="D1822">
        <v>0</v>
      </c>
      <c r="E1822">
        <v>0</v>
      </c>
      <c r="F1822">
        <v>0</v>
      </c>
      <c r="G1822">
        <v>919.97393</v>
      </c>
      <c r="I1822">
        <f t="shared" si="112"/>
        <v>0.45356478630764774</v>
      </c>
      <c r="J1822">
        <f t="shared" si="113"/>
        <v>0</v>
      </c>
      <c r="K1822">
        <f t="shared" si="114"/>
        <v>0</v>
      </c>
      <c r="L1822">
        <f t="shared" si="115"/>
        <v>0</v>
      </c>
    </row>
    <row r="1823" spans="1:12" x14ac:dyDescent="0.35">
      <c r="A1823" s="1" t="s">
        <v>59</v>
      </c>
      <c r="B1823">
        <v>0.41782864199999997</v>
      </c>
      <c r="C1823">
        <v>5.4992000000000001E-3</v>
      </c>
      <c r="D1823">
        <v>0</v>
      </c>
      <c r="E1823">
        <v>0</v>
      </c>
      <c r="F1823">
        <v>0</v>
      </c>
      <c r="G1823">
        <v>920.39175999999998</v>
      </c>
      <c r="I1823">
        <f t="shared" si="112"/>
        <v>0.26340975432619773</v>
      </c>
      <c r="J1823">
        <f t="shared" si="113"/>
        <v>0</v>
      </c>
      <c r="K1823">
        <f t="shared" si="114"/>
        <v>0</v>
      </c>
      <c r="L1823">
        <f t="shared" si="115"/>
        <v>0</v>
      </c>
    </row>
    <row r="1824" spans="1:12" x14ac:dyDescent="0.35">
      <c r="A1824" s="1" t="s">
        <v>60</v>
      </c>
      <c r="B1824">
        <v>0.41782827500000003</v>
      </c>
      <c r="C1824">
        <v>4.1392E-3</v>
      </c>
      <c r="D1824">
        <v>0</v>
      </c>
      <c r="E1824">
        <v>0</v>
      </c>
      <c r="F1824">
        <v>0</v>
      </c>
      <c r="G1824">
        <v>920.80958999999996</v>
      </c>
      <c r="I1824">
        <f t="shared" si="112"/>
        <v>0.19826640470947862</v>
      </c>
      <c r="J1824">
        <f t="shared" si="113"/>
        <v>0</v>
      </c>
      <c r="K1824">
        <f t="shared" si="114"/>
        <v>0</v>
      </c>
      <c r="L1824">
        <f t="shared" si="115"/>
        <v>0</v>
      </c>
    </row>
    <row r="1825" spans="1:12" x14ac:dyDescent="0.35">
      <c r="A1825" s="1" t="s">
        <v>61</v>
      </c>
      <c r="B1825">
        <v>0.41782808399999999</v>
      </c>
      <c r="C1825">
        <v>3.2192000000000002E-3</v>
      </c>
      <c r="D1825">
        <v>0</v>
      </c>
      <c r="E1825">
        <v>0</v>
      </c>
      <c r="F1825">
        <v>0</v>
      </c>
      <c r="G1825">
        <v>921.22742000000005</v>
      </c>
      <c r="I1825">
        <f t="shared" si="112"/>
        <v>0.15419875865034546</v>
      </c>
      <c r="J1825">
        <f t="shared" si="113"/>
        <v>0</v>
      </c>
      <c r="K1825">
        <f t="shared" si="114"/>
        <v>0</v>
      </c>
      <c r="L1825">
        <f t="shared" si="115"/>
        <v>0</v>
      </c>
    </row>
    <row r="1826" spans="1:12" x14ac:dyDescent="0.35">
      <c r="A1826" s="1" t="s">
        <v>62</v>
      </c>
      <c r="B1826">
        <v>0.41782794400000001</v>
      </c>
      <c r="C1826">
        <v>2.3392E-3</v>
      </c>
      <c r="D1826">
        <v>0</v>
      </c>
      <c r="E1826">
        <v>0</v>
      </c>
      <c r="F1826">
        <v>0</v>
      </c>
      <c r="G1826">
        <v>921.64523999999994</v>
      </c>
      <c r="I1826">
        <f t="shared" si="112"/>
        <v>0.11204704805350077</v>
      </c>
      <c r="J1826">
        <f t="shared" si="113"/>
        <v>0</v>
      </c>
      <c r="K1826">
        <f t="shared" si="114"/>
        <v>0</v>
      </c>
      <c r="L1826">
        <f t="shared" si="115"/>
        <v>0</v>
      </c>
    </row>
    <row r="1827" spans="1:12" x14ac:dyDescent="0.35">
      <c r="A1827" s="1" t="s">
        <v>63</v>
      </c>
      <c r="B1827">
        <v>0.21199999999999999</v>
      </c>
      <c r="C1827">
        <v>0</v>
      </c>
      <c r="D1827">
        <v>-2.3709669899999999</v>
      </c>
      <c r="E1827">
        <v>0</v>
      </c>
      <c r="F1827">
        <v>0</v>
      </c>
      <c r="G1827">
        <v>921.90423999999996</v>
      </c>
      <c r="I1827">
        <f t="shared" si="112"/>
        <v>0</v>
      </c>
      <c r="J1827">
        <f t="shared" si="113"/>
        <v>-47.452167353748784</v>
      </c>
      <c r="K1827">
        <f t="shared" si="114"/>
        <v>0</v>
      </c>
      <c r="L1827">
        <f t="shared" si="115"/>
        <v>0</v>
      </c>
    </row>
    <row r="1828" spans="1:12" x14ac:dyDescent="0.35">
      <c r="A1828" s="1" t="s">
        <v>64</v>
      </c>
      <c r="B1828">
        <v>0.16600000000000001</v>
      </c>
      <c r="C1828">
        <v>0</v>
      </c>
      <c r="D1828">
        <v>0</v>
      </c>
      <c r="E1828">
        <v>-132.861086</v>
      </c>
      <c r="F1828">
        <v>0</v>
      </c>
      <c r="G1828">
        <v>922.14523999999994</v>
      </c>
      <c r="I1828">
        <f t="shared" si="112"/>
        <v>0</v>
      </c>
      <c r="J1828">
        <f t="shared" si="113"/>
        <v>0</v>
      </c>
      <c r="K1828">
        <f t="shared" si="114"/>
        <v>-2659.0612666744933</v>
      </c>
      <c r="L1828">
        <f t="shared" si="115"/>
        <v>0</v>
      </c>
    </row>
    <row r="1829" spans="1:12" x14ac:dyDescent="0.35">
      <c r="A1829" s="1" t="s">
        <v>65</v>
      </c>
      <c r="B1829">
        <v>0.21199999999999999</v>
      </c>
      <c r="C1829">
        <v>0</v>
      </c>
      <c r="D1829">
        <v>2.47240752</v>
      </c>
      <c r="E1829">
        <v>0</v>
      </c>
      <c r="F1829">
        <v>0</v>
      </c>
      <c r="G1829">
        <v>922.95809999999994</v>
      </c>
      <c r="I1829">
        <f t="shared" si="112"/>
        <v>0</v>
      </c>
      <c r="J1829">
        <f t="shared" si="113"/>
        <v>49.48238246273813</v>
      </c>
      <c r="K1829">
        <f t="shared" si="114"/>
        <v>0</v>
      </c>
      <c r="L1829">
        <f t="shared" si="115"/>
        <v>0</v>
      </c>
    </row>
    <row r="1830" spans="1:12" x14ac:dyDescent="0.35">
      <c r="A1830" s="1" t="s">
        <v>66</v>
      </c>
      <c r="B1830">
        <v>0.1</v>
      </c>
      <c r="C1830">
        <v>0</v>
      </c>
      <c r="D1830">
        <v>0</v>
      </c>
      <c r="E1830">
        <v>172.62799999999999</v>
      </c>
      <c r="F1830">
        <v>0</v>
      </c>
      <c r="G1830">
        <v>923.13310000000001</v>
      </c>
      <c r="I1830">
        <f t="shared" si="112"/>
        <v>0</v>
      </c>
      <c r="J1830">
        <f t="shared" si="113"/>
        <v>0</v>
      </c>
      <c r="K1830">
        <f t="shared" si="114"/>
        <v>3454.9501450220296</v>
      </c>
      <c r="L1830">
        <f t="shared" si="115"/>
        <v>0</v>
      </c>
    </row>
    <row r="1831" spans="1:12" x14ac:dyDescent="0.35">
      <c r="A1831" s="1" t="s">
        <v>66</v>
      </c>
      <c r="B1831">
        <v>0.1</v>
      </c>
      <c r="C1831">
        <v>0</v>
      </c>
      <c r="D1831">
        <v>0</v>
      </c>
      <c r="E1831">
        <v>172.62799999999999</v>
      </c>
      <c r="F1831">
        <v>0</v>
      </c>
      <c r="G1831">
        <f>923.1331+0.1</f>
        <v>923.23310000000004</v>
      </c>
      <c r="I1831">
        <f t="shared" si="112"/>
        <v>0</v>
      </c>
      <c r="J1831">
        <f t="shared" si="113"/>
        <v>0</v>
      </c>
      <c r="K1831">
        <f t="shared" si="114"/>
        <v>3454.9501450220296</v>
      </c>
      <c r="L1831">
        <f t="shared" si="115"/>
        <v>0</v>
      </c>
    </row>
    <row r="1832" spans="1:12" x14ac:dyDescent="0.35">
      <c r="A1832" s="1" t="s">
        <v>67</v>
      </c>
      <c r="B1832">
        <v>0.21199999999999999</v>
      </c>
      <c r="C1832">
        <v>0</v>
      </c>
      <c r="D1832">
        <v>2.47240752</v>
      </c>
      <c r="E1832">
        <v>0</v>
      </c>
      <c r="F1832">
        <v>0</v>
      </c>
      <c r="G1832">
        <v>923.52009999999996</v>
      </c>
      <c r="I1832">
        <f t="shared" si="112"/>
        <v>0</v>
      </c>
      <c r="J1832">
        <f t="shared" si="113"/>
        <v>49.48238246273813</v>
      </c>
      <c r="K1832">
        <f t="shared" si="114"/>
        <v>0</v>
      </c>
      <c r="L1832">
        <f t="shared" si="115"/>
        <v>0</v>
      </c>
    </row>
    <row r="1833" spans="1:12" x14ac:dyDescent="0.35">
      <c r="A1833" s="1" t="s">
        <v>68</v>
      </c>
      <c r="B1833">
        <v>0.09</v>
      </c>
      <c r="C1833">
        <v>0</v>
      </c>
      <c r="D1833">
        <v>0</v>
      </c>
      <c r="E1833">
        <v>0</v>
      </c>
      <c r="F1833">
        <v>-13632</v>
      </c>
      <c r="G1833">
        <v>923.67010000000005</v>
      </c>
      <c r="I1833">
        <f t="shared" si="112"/>
        <v>0</v>
      </c>
      <c r="J1833">
        <f t="shared" si="113"/>
        <v>0</v>
      </c>
      <c r="K1833">
        <f t="shared" si="114"/>
        <v>0</v>
      </c>
      <c r="L1833">
        <f t="shared" si="115"/>
        <v>-272828.74375501258</v>
      </c>
    </row>
    <row r="1834" spans="1:12" x14ac:dyDescent="0.35">
      <c r="A1834" s="1" t="s">
        <v>69</v>
      </c>
      <c r="B1834">
        <v>0.16600000000000001</v>
      </c>
      <c r="C1834">
        <v>0</v>
      </c>
      <c r="D1834">
        <v>0</v>
      </c>
      <c r="E1834">
        <v>-202.23429300000001</v>
      </c>
      <c r="F1834">
        <v>0</v>
      </c>
      <c r="G1834">
        <v>924.28695000000005</v>
      </c>
      <c r="I1834">
        <f t="shared" si="112"/>
        <v>0</v>
      </c>
      <c r="J1834">
        <f t="shared" si="113"/>
        <v>0</v>
      </c>
      <c r="K1834">
        <f t="shared" si="114"/>
        <v>-4047.4859230760812</v>
      </c>
      <c r="L1834">
        <f t="shared" si="115"/>
        <v>0</v>
      </c>
    </row>
    <row r="1835" spans="1:12" x14ac:dyDescent="0.35">
      <c r="A1835" s="1" t="s">
        <v>70</v>
      </c>
      <c r="B1835">
        <v>0.21199999999999999</v>
      </c>
      <c r="C1835">
        <v>0</v>
      </c>
      <c r="D1835">
        <v>-2.53358734</v>
      </c>
      <c r="E1835">
        <v>0</v>
      </c>
      <c r="F1835">
        <v>0</v>
      </c>
      <c r="G1835">
        <v>924.57394999999997</v>
      </c>
      <c r="I1835">
        <f t="shared" si="112"/>
        <v>0</v>
      </c>
      <c r="J1835">
        <f t="shared" si="113"/>
        <v>-50.706825936458621</v>
      </c>
      <c r="K1835">
        <f t="shared" si="114"/>
        <v>0</v>
      </c>
      <c r="L1835">
        <f t="shared" si="115"/>
        <v>0</v>
      </c>
    </row>
    <row r="1836" spans="1:12" x14ac:dyDescent="0.35">
      <c r="A1836" s="1" t="s">
        <v>20</v>
      </c>
      <c r="B1836">
        <v>0.41782794400000001</v>
      </c>
      <c r="C1836">
        <v>2.3392E-3</v>
      </c>
      <c r="D1836">
        <v>0</v>
      </c>
      <c r="E1836">
        <v>0</v>
      </c>
      <c r="F1836">
        <v>0</v>
      </c>
      <c r="G1836">
        <v>925.03877999999997</v>
      </c>
      <c r="I1836">
        <f t="shared" si="112"/>
        <v>0.11204704805350077</v>
      </c>
      <c r="J1836">
        <f t="shared" si="113"/>
        <v>0</v>
      </c>
      <c r="K1836">
        <f t="shared" si="114"/>
        <v>0</v>
      </c>
      <c r="L1836">
        <f t="shared" si="115"/>
        <v>0</v>
      </c>
    </row>
    <row r="1837" spans="1:12" x14ac:dyDescent="0.35">
      <c r="A1837" s="1" t="s">
        <v>21</v>
      </c>
      <c r="B1837">
        <v>0.41782808399999999</v>
      </c>
      <c r="C1837">
        <v>3.2192000000000002E-3</v>
      </c>
      <c r="D1837">
        <v>0</v>
      </c>
      <c r="E1837">
        <v>0</v>
      </c>
      <c r="F1837">
        <v>0</v>
      </c>
      <c r="G1837">
        <v>925.45660999999996</v>
      </c>
      <c r="I1837">
        <f t="shared" si="112"/>
        <v>0.15419875865034546</v>
      </c>
      <c r="J1837">
        <f t="shared" si="113"/>
        <v>0</v>
      </c>
      <c r="K1837">
        <f t="shared" si="114"/>
        <v>0</v>
      </c>
      <c r="L1837">
        <f t="shared" si="115"/>
        <v>0</v>
      </c>
    </row>
    <row r="1838" spans="1:12" x14ac:dyDescent="0.35">
      <c r="A1838" s="1" t="s">
        <v>22</v>
      </c>
      <c r="B1838">
        <v>0.41782827500000003</v>
      </c>
      <c r="C1838">
        <v>4.1392E-3</v>
      </c>
      <c r="D1838">
        <v>0</v>
      </c>
      <c r="E1838">
        <v>0</v>
      </c>
      <c r="F1838">
        <v>0</v>
      </c>
      <c r="G1838">
        <v>925.87444000000005</v>
      </c>
      <c r="I1838">
        <f t="shared" si="112"/>
        <v>0.19826640470947862</v>
      </c>
      <c r="J1838">
        <f t="shared" si="113"/>
        <v>0</v>
      </c>
      <c r="K1838">
        <f t="shared" si="114"/>
        <v>0</v>
      </c>
      <c r="L1838">
        <f t="shared" si="115"/>
        <v>0</v>
      </c>
    </row>
    <row r="1839" spans="1:12" x14ac:dyDescent="0.35">
      <c r="A1839" s="1" t="s">
        <v>23</v>
      </c>
      <c r="B1839">
        <v>0.41782864199999997</v>
      </c>
      <c r="C1839">
        <v>5.4992000000000001E-3</v>
      </c>
      <c r="D1839">
        <v>0</v>
      </c>
      <c r="E1839">
        <v>0</v>
      </c>
      <c r="F1839">
        <v>0</v>
      </c>
      <c r="G1839">
        <v>926.29226000000006</v>
      </c>
      <c r="I1839">
        <f t="shared" si="112"/>
        <v>0.26340975432619773</v>
      </c>
      <c r="J1839">
        <f t="shared" si="113"/>
        <v>0</v>
      </c>
      <c r="K1839">
        <f t="shared" si="114"/>
        <v>0</v>
      </c>
      <c r="L1839">
        <f t="shared" si="115"/>
        <v>0</v>
      </c>
    </row>
    <row r="1840" spans="1:12" x14ac:dyDescent="0.35">
      <c r="A1840" s="1" t="s">
        <v>24</v>
      </c>
      <c r="B1840">
        <v>0.41782941899999998</v>
      </c>
      <c r="C1840">
        <v>7.6290999999999998E-3</v>
      </c>
      <c r="D1840">
        <v>0</v>
      </c>
      <c r="E1840">
        <v>0</v>
      </c>
      <c r="F1840">
        <v>0</v>
      </c>
      <c r="G1840">
        <v>926.71009000000004</v>
      </c>
      <c r="I1840">
        <f t="shared" si="112"/>
        <v>0.36543053893202671</v>
      </c>
      <c r="J1840">
        <f t="shared" si="113"/>
        <v>0</v>
      </c>
      <c r="K1840">
        <f t="shared" si="114"/>
        <v>0</v>
      </c>
      <c r="L1840">
        <f t="shared" si="115"/>
        <v>0</v>
      </c>
    </row>
    <row r="1841" spans="1:12" x14ac:dyDescent="0.35">
      <c r="A1841" s="1" t="s">
        <v>71</v>
      </c>
      <c r="B1841">
        <v>0.3745</v>
      </c>
      <c r="C1841">
        <v>0</v>
      </c>
      <c r="D1841">
        <v>4.5116622</v>
      </c>
      <c r="E1841">
        <v>0</v>
      </c>
      <c r="F1841">
        <v>0</v>
      </c>
      <c r="G1841">
        <v>927.23459000000003</v>
      </c>
      <c r="I1841">
        <f t="shared" si="112"/>
        <v>0</v>
      </c>
      <c r="J1841">
        <f t="shared" si="113"/>
        <v>90.29571084748946</v>
      </c>
      <c r="K1841">
        <f t="shared" si="114"/>
        <v>0</v>
      </c>
      <c r="L1841">
        <f t="shared" si="115"/>
        <v>0</v>
      </c>
    </row>
    <row r="1842" spans="1:12" x14ac:dyDescent="0.35">
      <c r="A1842" s="1" t="s">
        <v>72</v>
      </c>
      <c r="B1842">
        <v>1.0280365199999999</v>
      </c>
      <c r="C1842">
        <v>2.4767999999999998E-2</v>
      </c>
      <c r="D1842">
        <v>-1.929</v>
      </c>
      <c r="E1842">
        <v>0</v>
      </c>
      <c r="F1842">
        <v>0</v>
      </c>
      <c r="G1842">
        <v>928.35262999999998</v>
      </c>
      <c r="I1842">
        <f t="shared" si="112"/>
        <v>0.48218416286837618</v>
      </c>
      <c r="J1842">
        <f t="shared" si="113"/>
        <v>-38.606708238220314</v>
      </c>
      <c r="K1842">
        <f t="shared" si="114"/>
        <v>0</v>
      </c>
      <c r="L1842">
        <f t="shared" si="115"/>
        <v>0</v>
      </c>
    </row>
    <row r="1843" spans="1:12" x14ac:dyDescent="0.35">
      <c r="A1843" s="1" t="s">
        <v>73</v>
      </c>
      <c r="B1843">
        <v>0.4975</v>
      </c>
      <c r="C1843">
        <v>0</v>
      </c>
      <c r="D1843">
        <v>4.61414189</v>
      </c>
      <c r="E1843">
        <v>0</v>
      </c>
      <c r="F1843">
        <v>0</v>
      </c>
      <c r="G1843">
        <v>928.94012999999995</v>
      </c>
      <c r="I1843">
        <f t="shared" si="112"/>
        <v>0</v>
      </c>
      <c r="J1843">
        <f t="shared" si="113"/>
        <v>92.346723544313335</v>
      </c>
      <c r="K1843">
        <f t="shared" si="114"/>
        <v>0</v>
      </c>
      <c r="L1843">
        <f t="shared" si="115"/>
        <v>0</v>
      </c>
    </row>
    <row r="1844" spans="1:12" x14ac:dyDescent="0.35">
      <c r="A1844" s="1" t="s">
        <v>28</v>
      </c>
      <c r="B1844">
        <v>0.1</v>
      </c>
      <c r="C1844">
        <v>0</v>
      </c>
      <c r="D1844">
        <v>0</v>
      </c>
      <c r="E1844">
        <v>0</v>
      </c>
      <c r="F1844">
        <v>0</v>
      </c>
      <c r="G1844">
        <v>929.11120000000005</v>
      </c>
      <c r="I1844">
        <f t="shared" si="112"/>
        <v>0</v>
      </c>
      <c r="J1844">
        <f t="shared" si="113"/>
        <v>0</v>
      </c>
      <c r="K1844">
        <f t="shared" si="114"/>
        <v>0</v>
      </c>
      <c r="L1844">
        <f t="shared" si="115"/>
        <v>0</v>
      </c>
    </row>
    <row r="1845" spans="1:12" x14ac:dyDescent="0.35">
      <c r="A1845" s="1" t="s">
        <v>74</v>
      </c>
      <c r="B1845">
        <v>0.40000102700000001</v>
      </c>
      <c r="C1845">
        <v>5.2300999999999997E-3</v>
      </c>
      <c r="D1845">
        <v>-1.5815999999999999</v>
      </c>
      <c r="E1845">
        <v>0</v>
      </c>
      <c r="F1845">
        <v>0</v>
      </c>
      <c r="G1845">
        <v>929.60419999999999</v>
      </c>
      <c r="I1845">
        <f t="shared" si="112"/>
        <v>0.26168536331815889</v>
      </c>
      <c r="J1845">
        <f t="shared" si="113"/>
        <v>-31.653898263125576</v>
      </c>
      <c r="K1845">
        <f t="shared" si="114"/>
        <v>0</v>
      </c>
      <c r="L1845">
        <f t="shared" si="115"/>
        <v>0</v>
      </c>
    </row>
    <row r="1846" spans="1:12" x14ac:dyDescent="0.35">
      <c r="A1846" s="1" t="s">
        <v>30</v>
      </c>
      <c r="B1846">
        <v>2.44294E-2</v>
      </c>
      <c r="C1846">
        <v>1.0499000000000001E-3</v>
      </c>
      <c r="D1846">
        <v>0</v>
      </c>
      <c r="E1846">
        <v>0</v>
      </c>
      <c r="F1846">
        <v>0</v>
      </c>
      <c r="G1846">
        <v>929.69912999999997</v>
      </c>
      <c r="I1846">
        <f t="shared" si="112"/>
        <v>0.8601331402616047</v>
      </c>
      <c r="J1846">
        <f t="shared" si="113"/>
        <v>0</v>
      </c>
      <c r="K1846">
        <f t="shared" si="114"/>
        <v>0</v>
      </c>
      <c r="L1846">
        <f t="shared" si="115"/>
        <v>0</v>
      </c>
    </row>
    <row r="1847" spans="1:12" x14ac:dyDescent="0.35">
      <c r="A1847" s="1" t="s">
        <v>30</v>
      </c>
      <c r="B1847">
        <v>2.44294E-2</v>
      </c>
      <c r="C1847">
        <v>1.0499000000000001E-3</v>
      </c>
      <c r="D1847">
        <v>0</v>
      </c>
      <c r="E1847">
        <v>0</v>
      </c>
      <c r="F1847">
        <v>0</v>
      </c>
      <c r="G1847">
        <f>929.69913+0.0244294</f>
        <v>929.7235594</v>
      </c>
      <c r="I1847">
        <f t="shared" si="112"/>
        <v>0.8601331402616047</v>
      </c>
      <c r="J1847">
        <f t="shared" si="113"/>
        <v>0</v>
      </c>
      <c r="K1847">
        <f t="shared" si="114"/>
        <v>0</v>
      </c>
      <c r="L1847">
        <f t="shared" si="115"/>
        <v>0</v>
      </c>
    </row>
    <row r="1848" spans="1:12" x14ac:dyDescent="0.35">
      <c r="A1848" s="1" t="s">
        <v>75</v>
      </c>
      <c r="B1848">
        <v>0.40000102700000001</v>
      </c>
      <c r="C1848">
        <v>5.2300999999999997E-3</v>
      </c>
      <c r="D1848">
        <v>-1.5815999999999999</v>
      </c>
      <c r="E1848">
        <v>0</v>
      </c>
      <c r="F1848">
        <v>0</v>
      </c>
      <c r="G1848">
        <v>930.19406000000004</v>
      </c>
      <c r="I1848">
        <f t="shared" si="112"/>
        <v>0.26168536331815889</v>
      </c>
      <c r="J1848">
        <f t="shared" si="113"/>
        <v>-31.653898263125576</v>
      </c>
      <c r="K1848">
        <f t="shared" si="114"/>
        <v>0</v>
      </c>
      <c r="L1848">
        <f t="shared" si="115"/>
        <v>0</v>
      </c>
    </row>
    <row r="1849" spans="1:12" x14ac:dyDescent="0.35">
      <c r="A1849" s="1" t="s">
        <v>76</v>
      </c>
      <c r="B1849">
        <v>0.4975</v>
      </c>
      <c r="C1849">
        <v>0</v>
      </c>
      <c r="D1849">
        <v>4.61414189</v>
      </c>
      <c r="E1849">
        <v>0</v>
      </c>
      <c r="F1849">
        <v>0</v>
      </c>
      <c r="G1849">
        <v>930.95563000000004</v>
      </c>
      <c r="I1849">
        <f t="shared" si="112"/>
        <v>0</v>
      </c>
      <c r="J1849">
        <f t="shared" si="113"/>
        <v>92.346723544313335</v>
      </c>
      <c r="K1849">
        <f t="shared" si="114"/>
        <v>0</v>
      </c>
      <c r="L1849">
        <f t="shared" si="115"/>
        <v>0</v>
      </c>
    </row>
    <row r="1850" spans="1:12" x14ac:dyDescent="0.35">
      <c r="A1850" s="1" t="s">
        <v>77</v>
      </c>
      <c r="B1850">
        <v>1.0280365199999999</v>
      </c>
      <c r="C1850">
        <v>2.4767999999999998E-2</v>
      </c>
      <c r="D1850">
        <v>-1.929</v>
      </c>
      <c r="E1850">
        <v>0</v>
      </c>
      <c r="F1850">
        <v>0</v>
      </c>
      <c r="G1850">
        <v>932.07366999999999</v>
      </c>
      <c r="I1850">
        <f t="shared" si="112"/>
        <v>0.48218416286837618</v>
      </c>
      <c r="J1850">
        <f t="shared" si="113"/>
        <v>-38.606708238220314</v>
      </c>
      <c r="K1850">
        <f t="shared" si="114"/>
        <v>0</v>
      </c>
      <c r="L1850">
        <f t="shared" si="115"/>
        <v>0</v>
      </c>
    </row>
    <row r="1851" spans="1:12" x14ac:dyDescent="0.35">
      <c r="A1851" s="1" t="s">
        <v>78</v>
      </c>
      <c r="B1851">
        <v>0.3745</v>
      </c>
      <c r="C1851">
        <v>0</v>
      </c>
      <c r="D1851">
        <v>4.5116622</v>
      </c>
      <c r="E1851">
        <v>0</v>
      </c>
      <c r="F1851">
        <v>0</v>
      </c>
      <c r="G1851">
        <v>932.53817000000004</v>
      </c>
      <c r="I1851">
        <f t="shared" si="112"/>
        <v>0</v>
      </c>
      <c r="J1851">
        <f t="shared" si="113"/>
        <v>90.29571084748946</v>
      </c>
      <c r="K1851">
        <f t="shared" si="114"/>
        <v>0</v>
      </c>
      <c r="L1851">
        <f t="shared" si="115"/>
        <v>0</v>
      </c>
    </row>
    <row r="1852" spans="1:12" x14ac:dyDescent="0.35">
      <c r="A1852" s="1" t="s">
        <v>35</v>
      </c>
      <c r="B1852">
        <v>0.41782941899999998</v>
      </c>
      <c r="C1852">
        <v>7.6290999999999998E-3</v>
      </c>
      <c r="D1852">
        <v>0</v>
      </c>
      <c r="E1852">
        <v>0</v>
      </c>
      <c r="F1852">
        <v>0</v>
      </c>
      <c r="G1852">
        <v>933.10599999999999</v>
      </c>
      <c r="I1852">
        <f t="shared" si="112"/>
        <v>0.36543053893202671</v>
      </c>
      <c r="J1852">
        <f t="shared" si="113"/>
        <v>0</v>
      </c>
      <c r="K1852">
        <f t="shared" si="114"/>
        <v>0</v>
      </c>
      <c r="L1852">
        <f t="shared" si="115"/>
        <v>0</v>
      </c>
    </row>
    <row r="1853" spans="1:12" x14ac:dyDescent="0.35">
      <c r="A1853" s="1" t="s">
        <v>36</v>
      </c>
      <c r="B1853">
        <v>0.41782864199999997</v>
      </c>
      <c r="C1853">
        <v>5.4992000000000001E-3</v>
      </c>
      <c r="D1853">
        <v>0</v>
      </c>
      <c r="E1853">
        <v>0</v>
      </c>
      <c r="F1853">
        <v>0</v>
      </c>
      <c r="G1853">
        <v>933.52382999999998</v>
      </c>
      <c r="I1853">
        <f t="shared" si="112"/>
        <v>0.26340975432619773</v>
      </c>
      <c r="J1853">
        <f t="shared" si="113"/>
        <v>0</v>
      </c>
      <c r="K1853">
        <f t="shared" si="114"/>
        <v>0</v>
      </c>
      <c r="L1853">
        <f t="shared" si="115"/>
        <v>0</v>
      </c>
    </row>
    <row r="1854" spans="1:12" x14ac:dyDescent="0.35">
      <c r="A1854" s="1" t="s">
        <v>37</v>
      </c>
      <c r="B1854">
        <v>0.41782827500000003</v>
      </c>
      <c r="C1854">
        <v>4.1392E-3</v>
      </c>
      <c r="D1854">
        <v>0</v>
      </c>
      <c r="E1854">
        <v>0</v>
      </c>
      <c r="F1854">
        <v>0</v>
      </c>
      <c r="G1854">
        <v>933.94165999999996</v>
      </c>
      <c r="I1854">
        <f t="shared" si="112"/>
        <v>0.19826640470947862</v>
      </c>
      <c r="J1854">
        <f t="shared" si="113"/>
        <v>0</v>
      </c>
      <c r="K1854">
        <f t="shared" si="114"/>
        <v>0</v>
      </c>
      <c r="L1854">
        <f t="shared" si="115"/>
        <v>0</v>
      </c>
    </row>
    <row r="1855" spans="1:12" x14ac:dyDescent="0.35">
      <c r="A1855" s="1" t="s">
        <v>38</v>
      </c>
      <c r="B1855">
        <v>0.41782808399999999</v>
      </c>
      <c r="C1855">
        <v>3.2192000000000002E-3</v>
      </c>
      <c r="D1855">
        <v>0</v>
      </c>
      <c r="E1855">
        <v>0</v>
      </c>
      <c r="F1855">
        <v>0</v>
      </c>
      <c r="G1855">
        <v>934.35947999999996</v>
      </c>
      <c r="I1855">
        <f t="shared" si="112"/>
        <v>0.15419875865034546</v>
      </c>
      <c r="J1855">
        <f t="shared" si="113"/>
        <v>0</v>
      </c>
      <c r="K1855">
        <f t="shared" si="114"/>
        <v>0</v>
      </c>
      <c r="L1855">
        <f t="shared" si="115"/>
        <v>0</v>
      </c>
    </row>
    <row r="1856" spans="1:12" x14ac:dyDescent="0.35">
      <c r="A1856" s="1" t="s">
        <v>39</v>
      </c>
      <c r="B1856">
        <v>0.41782794400000001</v>
      </c>
      <c r="C1856">
        <v>2.3392E-3</v>
      </c>
      <c r="D1856">
        <v>0</v>
      </c>
      <c r="E1856">
        <v>0</v>
      </c>
      <c r="F1856">
        <v>0</v>
      </c>
      <c r="G1856">
        <v>934.77731000000006</v>
      </c>
      <c r="I1856">
        <f t="shared" si="112"/>
        <v>0.11204704805350077</v>
      </c>
      <c r="J1856">
        <f t="shared" si="113"/>
        <v>0</v>
      </c>
      <c r="K1856">
        <f t="shared" si="114"/>
        <v>0</v>
      </c>
      <c r="L1856">
        <f t="shared" si="115"/>
        <v>0</v>
      </c>
    </row>
    <row r="1857" spans="1:12" x14ac:dyDescent="0.35">
      <c r="A1857" s="1" t="s">
        <v>79</v>
      </c>
      <c r="B1857">
        <v>0.21199999999999999</v>
      </c>
      <c r="C1857">
        <v>0</v>
      </c>
      <c r="D1857">
        <v>-2.53358734</v>
      </c>
      <c r="E1857">
        <v>0</v>
      </c>
      <c r="F1857">
        <v>0</v>
      </c>
      <c r="G1857">
        <v>935.03630999999996</v>
      </c>
      <c r="I1857">
        <f t="shared" si="112"/>
        <v>0</v>
      </c>
      <c r="J1857">
        <f t="shared" si="113"/>
        <v>-50.706825936458621</v>
      </c>
      <c r="K1857">
        <f t="shared" si="114"/>
        <v>0</v>
      </c>
      <c r="L1857">
        <f t="shared" si="115"/>
        <v>0</v>
      </c>
    </row>
    <row r="1858" spans="1:12" x14ac:dyDescent="0.35">
      <c r="A1858" s="1" t="s">
        <v>80</v>
      </c>
      <c r="B1858">
        <v>0.16600000000000001</v>
      </c>
      <c r="C1858">
        <v>0</v>
      </c>
      <c r="D1858">
        <v>0</v>
      </c>
      <c r="E1858">
        <v>-202.23429300000001</v>
      </c>
      <c r="F1858">
        <v>0</v>
      </c>
      <c r="G1858">
        <v>935.27731000000006</v>
      </c>
      <c r="I1858">
        <f t="shared" si="112"/>
        <v>0</v>
      </c>
      <c r="J1858">
        <f t="shared" si="113"/>
        <v>0</v>
      </c>
      <c r="K1858">
        <f t="shared" si="114"/>
        <v>-4047.4859230760812</v>
      </c>
      <c r="L1858">
        <f t="shared" si="115"/>
        <v>0</v>
      </c>
    </row>
    <row r="1859" spans="1:12" x14ac:dyDescent="0.35">
      <c r="A1859" s="1" t="s">
        <v>81</v>
      </c>
      <c r="B1859">
        <v>0.09</v>
      </c>
      <c r="C1859">
        <v>0</v>
      </c>
      <c r="D1859">
        <v>0</v>
      </c>
      <c r="E1859">
        <v>0</v>
      </c>
      <c r="F1859">
        <v>-13632</v>
      </c>
      <c r="G1859">
        <v>935.81817000000001</v>
      </c>
      <c r="I1859">
        <f t="shared" si="112"/>
        <v>0</v>
      </c>
      <c r="J1859">
        <f t="shared" si="113"/>
        <v>0</v>
      </c>
      <c r="K1859">
        <f t="shared" si="114"/>
        <v>0</v>
      </c>
      <c r="L1859">
        <f t="shared" si="115"/>
        <v>-272828.74375501258</v>
      </c>
    </row>
    <row r="1860" spans="1:12" x14ac:dyDescent="0.35">
      <c r="A1860" s="1" t="s">
        <v>82</v>
      </c>
      <c r="B1860">
        <v>0.21199999999999999</v>
      </c>
      <c r="C1860">
        <v>0</v>
      </c>
      <c r="D1860">
        <v>2.47240752</v>
      </c>
      <c r="E1860">
        <v>0</v>
      </c>
      <c r="F1860">
        <v>0</v>
      </c>
      <c r="G1860">
        <v>936.09016999999994</v>
      </c>
      <c r="I1860">
        <f t="shared" ref="I1860:I1923" si="116">$H$2*$C1860/$B1860</f>
        <v>0</v>
      </c>
      <c r="J1860">
        <f t="shared" ref="J1860:J1923" si="117">$H$2*$D1860</f>
        <v>49.48238246273813</v>
      </c>
      <c r="K1860">
        <f t="shared" ref="K1860:K1923" si="118">$H$2*$E1860</f>
        <v>0</v>
      </c>
      <c r="L1860">
        <f t="shared" ref="L1860:L1923" si="119">$H$2*$F1860</f>
        <v>0</v>
      </c>
    </row>
    <row r="1861" spans="1:12" x14ac:dyDescent="0.35">
      <c r="A1861" s="1" t="s">
        <v>83</v>
      </c>
      <c r="B1861">
        <v>0.1</v>
      </c>
      <c r="C1861">
        <v>0</v>
      </c>
      <c r="D1861">
        <v>0</v>
      </c>
      <c r="E1861">
        <v>172.62799999999999</v>
      </c>
      <c r="F1861">
        <v>0</v>
      </c>
      <c r="G1861">
        <v>936.26517000000001</v>
      </c>
      <c r="I1861">
        <f t="shared" si="116"/>
        <v>0</v>
      </c>
      <c r="J1861">
        <f t="shared" si="117"/>
        <v>0</v>
      </c>
      <c r="K1861">
        <f t="shared" si="118"/>
        <v>3454.9501450220296</v>
      </c>
      <c r="L1861">
        <f t="shared" si="119"/>
        <v>0</v>
      </c>
    </row>
    <row r="1862" spans="1:12" x14ac:dyDescent="0.35">
      <c r="A1862" s="1" t="s">
        <v>83</v>
      </c>
      <c r="B1862">
        <v>0.1</v>
      </c>
      <c r="C1862">
        <v>0</v>
      </c>
      <c r="D1862">
        <v>0</v>
      </c>
      <c r="E1862">
        <v>172.62799999999999</v>
      </c>
      <c r="F1862">
        <v>0</v>
      </c>
      <c r="G1862">
        <f>0.1+936.26517</f>
        <v>936.36517000000003</v>
      </c>
      <c r="I1862">
        <f t="shared" si="116"/>
        <v>0</v>
      </c>
      <c r="J1862">
        <f t="shared" si="117"/>
        <v>0</v>
      </c>
      <c r="K1862">
        <f t="shared" si="118"/>
        <v>3454.9501450220296</v>
      </c>
      <c r="L1862">
        <f t="shared" si="119"/>
        <v>0</v>
      </c>
    </row>
    <row r="1863" spans="1:12" x14ac:dyDescent="0.35">
      <c r="A1863" s="1" t="s">
        <v>84</v>
      </c>
      <c r="B1863">
        <v>0.21199999999999999</v>
      </c>
      <c r="C1863">
        <v>0</v>
      </c>
      <c r="D1863">
        <v>2.47240752</v>
      </c>
      <c r="E1863">
        <v>0</v>
      </c>
      <c r="F1863">
        <v>0</v>
      </c>
      <c r="G1863">
        <v>936.65216999999996</v>
      </c>
      <c r="I1863">
        <f t="shared" si="116"/>
        <v>0</v>
      </c>
      <c r="J1863">
        <f t="shared" si="117"/>
        <v>49.48238246273813</v>
      </c>
      <c r="K1863">
        <f t="shared" si="118"/>
        <v>0</v>
      </c>
      <c r="L1863">
        <f t="shared" si="119"/>
        <v>0</v>
      </c>
    </row>
    <row r="1864" spans="1:12" x14ac:dyDescent="0.35">
      <c r="A1864" s="1" t="s">
        <v>85</v>
      </c>
      <c r="B1864">
        <v>0.16600000000000001</v>
      </c>
      <c r="C1864">
        <v>0</v>
      </c>
      <c r="D1864">
        <v>0</v>
      </c>
      <c r="E1864">
        <v>-132.861086</v>
      </c>
      <c r="F1864">
        <v>0</v>
      </c>
      <c r="G1864">
        <v>937.41902000000005</v>
      </c>
      <c r="I1864">
        <f t="shared" si="116"/>
        <v>0</v>
      </c>
      <c r="J1864">
        <f t="shared" si="117"/>
        <v>0</v>
      </c>
      <c r="K1864">
        <f t="shared" si="118"/>
        <v>-2659.0612666744933</v>
      </c>
      <c r="L1864">
        <f t="shared" si="119"/>
        <v>0</v>
      </c>
    </row>
    <row r="1865" spans="1:12" x14ac:dyDescent="0.35">
      <c r="A1865" s="1" t="s">
        <v>86</v>
      </c>
      <c r="B1865">
        <v>0.21199999999999999</v>
      </c>
      <c r="C1865">
        <v>0</v>
      </c>
      <c r="D1865">
        <v>-2.3709669899999999</v>
      </c>
      <c r="E1865">
        <v>0</v>
      </c>
      <c r="F1865">
        <v>0</v>
      </c>
      <c r="G1865">
        <v>937.70601999999997</v>
      </c>
      <c r="I1865">
        <f t="shared" si="116"/>
        <v>0</v>
      </c>
      <c r="J1865">
        <f t="shared" si="117"/>
        <v>-47.452167353748784</v>
      </c>
      <c r="K1865">
        <f t="shared" si="118"/>
        <v>0</v>
      </c>
      <c r="L1865">
        <f t="shared" si="119"/>
        <v>0</v>
      </c>
    </row>
    <row r="1866" spans="1:12" x14ac:dyDescent="0.35">
      <c r="A1866" s="1" t="s">
        <v>48</v>
      </c>
      <c r="B1866">
        <v>0.41782794400000001</v>
      </c>
      <c r="C1866">
        <v>2.3392E-3</v>
      </c>
      <c r="D1866">
        <v>0</v>
      </c>
      <c r="E1866">
        <v>0</v>
      </c>
      <c r="F1866">
        <v>0</v>
      </c>
      <c r="G1866">
        <v>938.17084999999997</v>
      </c>
      <c r="I1866">
        <f t="shared" si="116"/>
        <v>0.11204704805350077</v>
      </c>
      <c r="J1866">
        <f t="shared" si="117"/>
        <v>0</v>
      </c>
      <c r="K1866">
        <f t="shared" si="118"/>
        <v>0</v>
      </c>
      <c r="L1866">
        <f t="shared" si="119"/>
        <v>0</v>
      </c>
    </row>
    <row r="1867" spans="1:12" x14ac:dyDescent="0.35">
      <c r="A1867" s="1" t="s">
        <v>49</v>
      </c>
      <c r="B1867">
        <v>0.41782808399999999</v>
      </c>
      <c r="C1867">
        <v>3.2192000000000002E-3</v>
      </c>
      <c r="D1867">
        <v>0</v>
      </c>
      <c r="E1867">
        <v>0</v>
      </c>
      <c r="F1867">
        <v>0</v>
      </c>
      <c r="G1867">
        <v>938.58866999999998</v>
      </c>
      <c r="I1867">
        <f t="shared" si="116"/>
        <v>0.15419875865034546</v>
      </c>
      <c r="J1867">
        <f t="shared" si="117"/>
        <v>0</v>
      </c>
      <c r="K1867">
        <f t="shared" si="118"/>
        <v>0</v>
      </c>
      <c r="L1867">
        <f t="shared" si="119"/>
        <v>0</v>
      </c>
    </row>
    <row r="1868" spans="1:12" x14ac:dyDescent="0.35">
      <c r="A1868" s="1" t="s">
        <v>50</v>
      </c>
      <c r="B1868">
        <v>0.41782827500000003</v>
      </c>
      <c r="C1868">
        <v>4.1392E-3</v>
      </c>
      <c r="D1868">
        <v>0</v>
      </c>
      <c r="E1868">
        <v>0</v>
      </c>
      <c r="F1868">
        <v>0</v>
      </c>
      <c r="G1868">
        <v>939.00649999999996</v>
      </c>
      <c r="I1868">
        <f t="shared" si="116"/>
        <v>0.19826640470947862</v>
      </c>
      <c r="J1868">
        <f t="shared" si="117"/>
        <v>0</v>
      </c>
      <c r="K1868">
        <f t="shared" si="118"/>
        <v>0</v>
      </c>
      <c r="L1868">
        <f t="shared" si="119"/>
        <v>0</v>
      </c>
    </row>
    <row r="1869" spans="1:12" x14ac:dyDescent="0.35">
      <c r="A1869" s="1" t="s">
        <v>51</v>
      </c>
      <c r="B1869">
        <v>0.41782864199999997</v>
      </c>
      <c r="C1869">
        <v>5.4992000000000001E-3</v>
      </c>
      <c r="D1869">
        <v>0</v>
      </c>
      <c r="E1869">
        <v>0</v>
      </c>
      <c r="F1869">
        <v>0</v>
      </c>
      <c r="G1869">
        <v>939.42433000000005</v>
      </c>
      <c r="I1869">
        <f t="shared" si="116"/>
        <v>0.26340975432619773</v>
      </c>
      <c r="J1869">
        <f t="shared" si="117"/>
        <v>0</v>
      </c>
      <c r="K1869">
        <f t="shared" si="118"/>
        <v>0</v>
      </c>
      <c r="L1869">
        <f t="shared" si="119"/>
        <v>0</v>
      </c>
    </row>
    <row r="1870" spans="1:12" x14ac:dyDescent="0.35">
      <c r="A1870" s="1" t="s">
        <v>52</v>
      </c>
      <c r="B1870">
        <v>0.41783028900000002</v>
      </c>
      <c r="C1870">
        <v>9.4690999999999994E-3</v>
      </c>
      <c r="D1870">
        <v>0</v>
      </c>
      <c r="E1870">
        <v>0</v>
      </c>
      <c r="F1870">
        <v>0</v>
      </c>
      <c r="G1870">
        <v>939.84216000000004</v>
      </c>
      <c r="I1870">
        <f t="shared" si="116"/>
        <v>0.45356478630764774</v>
      </c>
      <c r="J1870">
        <f t="shared" si="117"/>
        <v>0</v>
      </c>
      <c r="K1870">
        <f t="shared" si="118"/>
        <v>0</v>
      </c>
      <c r="L1870">
        <f t="shared" si="119"/>
        <v>0</v>
      </c>
    </row>
    <row r="1871" spans="1:12" x14ac:dyDescent="0.35">
      <c r="A1871" s="1" t="s">
        <v>87</v>
      </c>
      <c r="B1871">
        <v>0.16200000000000001</v>
      </c>
      <c r="C1871">
        <v>0</v>
      </c>
      <c r="D1871">
        <v>-2.8698264299999998</v>
      </c>
      <c r="E1871">
        <v>0</v>
      </c>
      <c r="F1871">
        <v>0</v>
      </c>
      <c r="G1871">
        <v>940.05115999999998</v>
      </c>
      <c r="I1871">
        <f t="shared" si="116"/>
        <v>0</v>
      </c>
      <c r="J1871">
        <f t="shared" si="117"/>
        <v>-57.436263181619168</v>
      </c>
      <c r="K1871">
        <f t="shared" si="118"/>
        <v>0</v>
      </c>
      <c r="L1871">
        <f t="shared" si="119"/>
        <v>0</v>
      </c>
    </row>
    <row r="1872" spans="1:12" x14ac:dyDescent="0.35">
      <c r="A1872" s="1" t="s">
        <v>54</v>
      </c>
      <c r="B1872">
        <v>0.1</v>
      </c>
      <c r="C1872">
        <v>0</v>
      </c>
      <c r="D1872">
        <v>0</v>
      </c>
      <c r="E1872">
        <v>0</v>
      </c>
      <c r="F1872">
        <v>0</v>
      </c>
      <c r="G1872">
        <v>940.38116000000002</v>
      </c>
      <c r="I1872">
        <f t="shared" si="116"/>
        <v>0</v>
      </c>
      <c r="J1872">
        <f t="shared" si="117"/>
        <v>0</v>
      </c>
      <c r="K1872">
        <f t="shared" si="118"/>
        <v>0</v>
      </c>
      <c r="L1872">
        <f t="shared" si="119"/>
        <v>0</v>
      </c>
    </row>
    <row r="1873" spans="1:12" x14ac:dyDescent="0.35">
      <c r="A1873" s="1" t="s">
        <v>88</v>
      </c>
      <c r="B1873">
        <v>0.29499999999999998</v>
      </c>
      <c r="C1873">
        <v>0</v>
      </c>
      <c r="D1873">
        <v>2.43875777</v>
      </c>
      <c r="E1873">
        <v>0</v>
      </c>
      <c r="F1873">
        <v>0</v>
      </c>
      <c r="G1873">
        <v>940.78616</v>
      </c>
      <c r="I1873">
        <f t="shared" si="116"/>
        <v>0</v>
      </c>
      <c r="J1873">
        <f t="shared" si="117"/>
        <v>48.808921560436907</v>
      </c>
      <c r="K1873">
        <f t="shared" si="118"/>
        <v>0</v>
      </c>
      <c r="L1873">
        <f t="shared" si="119"/>
        <v>0</v>
      </c>
    </row>
    <row r="1874" spans="1:12" x14ac:dyDescent="0.35">
      <c r="A1874" s="1" t="s">
        <v>56</v>
      </c>
      <c r="B1874">
        <v>0.29499999999999998</v>
      </c>
      <c r="C1874">
        <v>0</v>
      </c>
      <c r="D1874">
        <v>2.43875777</v>
      </c>
      <c r="E1874">
        <v>0</v>
      </c>
      <c r="F1874">
        <v>0</v>
      </c>
      <c r="G1874">
        <v>946.65931</v>
      </c>
      <c r="I1874">
        <f t="shared" si="116"/>
        <v>0</v>
      </c>
      <c r="J1874">
        <f t="shared" si="117"/>
        <v>48.808921560436907</v>
      </c>
      <c r="K1874">
        <f t="shared" si="118"/>
        <v>0</v>
      </c>
      <c r="L1874">
        <f t="shared" si="119"/>
        <v>0</v>
      </c>
    </row>
    <row r="1875" spans="1:12" x14ac:dyDescent="0.35">
      <c r="A1875" s="1" t="s">
        <v>2</v>
      </c>
      <c r="B1875">
        <v>0.1</v>
      </c>
      <c r="C1875">
        <v>0</v>
      </c>
      <c r="D1875">
        <v>0</v>
      </c>
      <c r="E1875">
        <v>0</v>
      </c>
      <c r="F1875">
        <v>0</v>
      </c>
      <c r="G1875">
        <v>946.86931000000004</v>
      </c>
      <c r="I1875">
        <f t="shared" si="116"/>
        <v>0</v>
      </c>
      <c r="J1875">
        <f t="shared" si="117"/>
        <v>0</v>
      </c>
      <c r="K1875">
        <f t="shared" si="118"/>
        <v>0</v>
      </c>
      <c r="L1875">
        <f t="shared" si="119"/>
        <v>0</v>
      </c>
    </row>
    <row r="1876" spans="1:12" x14ac:dyDescent="0.35">
      <c r="A1876" s="1" t="s">
        <v>57</v>
      </c>
      <c r="B1876">
        <v>0.16200000000000001</v>
      </c>
      <c r="C1876">
        <v>0</v>
      </c>
      <c r="D1876">
        <v>-2.8698264299999998</v>
      </c>
      <c r="E1876">
        <v>0</v>
      </c>
      <c r="F1876">
        <v>0</v>
      </c>
      <c r="G1876">
        <v>947.26130999999998</v>
      </c>
      <c r="I1876">
        <f t="shared" si="116"/>
        <v>0</v>
      </c>
      <c r="J1876">
        <f t="shared" si="117"/>
        <v>-57.436263181619168</v>
      </c>
      <c r="K1876">
        <f t="shared" si="118"/>
        <v>0</v>
      </c>
      <c r="L1876">
        <f t="shared" si="119"/>
        <v>0</v>
      </c>
    </row>
    <row r="1877" spans="1:12" x14ac:dyDescent="0.35">
      <c r="A1877" s="1" t="s">
        <v>58</v>
      </c>
      <c r="B1877">
        <v>0.41783028900000002</v>
      </c>
      <c r="C1877">
        <v>9.4690999999999994E-3</v>
      </c>
      <c r="D1877">
        <v>0</v>
      </c>
      <c r="E1877">
        <v>0</v>
      </c>
      <c r="F1877">
        <v>0</v>
      </c>
      <c r="G1877">
        <v>947.72613999999999</v>
      </c>
      <c r="I1877">
        <f t="shared" si="116"/>
        <v>0.45356478630764774</v>
      </c>
      <c r="J1877">
        <f t="shared" si="117"/>
        <v>0</v>
      </c>
      <c r="K1877">
        <f t="shared" si="118"/>
        <v>0</v>
      </c>
      <c r="L1877">
        <f t="shared" si="119"/>
        <v>0</v>
      </c>
    </row>
    <row r="1878" spans="1:12" x14ac:dyDescent="0.35">
      <c r="A1878" s="1" t="s">
        <v>59</v>
      </c>
      <c r="B1878">
        <v>0.41782864199999997</v>
      </c>
      <c r="C1878">
        <v>5.4992000000000001E-3</v>
      </c>
      <c r="D1878">
        <v>0</v>
      </c>
      <c r="E1878">
        <v>0</v>
      </c>
      <c r="F1878">
        <v>0</v>
      </c>
      <c r="G1878">
        <v>948.14396999999997</v>
      </c>
      <c r="I1878">
        <f t="shared" si="116"/>
        <v>0.26340975432619773</v>
      </c>
      <c r="J1878">
        <f t="shared" si="117"/>
        <v>0</v>
      </c>
      <c r="K1878">
        <f t="shared" si="118"/>
        <v>0</v>
      </c>
      <c r="L1878">
        <f t="shared" si="119"/>
        <v>0</v>
      </c>
    </row>
    <row r="1879" spans="1:12" x14ac:dyDescent="0.35">
      <c r="A1879" s="1" t="s">
        <v>60</v>
      </c>
      <c r="B1879">
        <v>0.41782827500000003</v>
      </c>
      <c r="C1879">
        <v>4.1392E-3</v>
      </c>
      <c r="D1879">
        <v>0</v>
      </c>
      <c r="E1879">
        <v>0</v>
      </c>
      <c r="F1879">
        <v>0</v>
      </c>
      <c r="G1879">
        <v>948.56179999999995</v>
      </c>
      <c r="I1879">
        <f t="shared" si="116"/>
        <v>0.19826640470947862</v>
      </c>
      <c r="J1879">
        <f t="shared" si="117"/>
        <v>0</v>
      </c>
      <c r="K1879">
        <f t="shared" si="118"/>
        <v>0</v>
      </c>
      <c r="L1879">
        <f t="shared" si="119"/>
        <v>0</v>
      </c>
    </row>
    <row r="1880" spans="1:12" x14ac:dyDescent="0.35">
      <c r="A1880" s="1" t="s">
        <v>61</v>
      </c>
      <c r="B1880">
        <v>0.41782808399999999</v>
      </c>
      <c r="C1880">
        <v>3.2192000000000002E-3</v>
      </c>
      <c r="D1880">
        <v>0</v>
      </c>
      <c r="E1880">
        <v>0</v>
      </c>
      <c r="F1880">
        <v>0</v>
      </c>
      <c r="G1880">
        <v>948.97963000000004</v>
      </c>
      <c r="I1880">
        <f t="shared" si="116"/>
        <v>0.15419875865034546</v>
      </c>
      <c r="J1880">
        <f t="shared" si="117"/>
        <v>0</v>
      </c>
      <c r="K1880">
        <f t="shared" si="118"/>
        <v>0</v>
      </c>
      <c r="L1880">
        <f t="shared" si="119"/>
        <v>0</v>
      </c>
    </row>
    <row r="1881" spans="1:12" x14ac:dyDescent="0.35">
      <c r="A1881" s="1" t="s">
        <v>62</v>
      </c>
      <c r="B1881">
        <v>0.41782794400000001</v>
      </c>
      <c r="C1881">
        <v>2.3392E-3</v>
      </c>
      <c r="D1881">
        <v>0</v>
      </c>
      <c r="E1881">
        <v>0</v>
      </c>
      <c r="F1881">
        <v>0</v>
      </c>
      <c r="G1881">
        <v>949.39746000000002</v>
      </c>
      <c r="I1881">
        <f t="shared" si="116"/>
        <v>0.11204704805350077</v>
      </c>
      <c r="J1881">
        <f t="shared" si="117"/>
        <v>0</v>
      </c>
      <c r="K1881">
        <f t="shared" si="118"/>
        <v>0</v>
      </c>
      <c r="L1881">
        <f t="shared" si="119"/>
        <v>0</v>
      </c>
    </row>
    <row r="1882" spans="1:12" x14ac:dyDescent="0.35">
      <c r="A1882" s="1" t="s">
        <v>63</v>
      </c>
      <c r="B1882">
        <v>0.21199999999999999</v>
      </c>
      <c r="C1882">
        <v>0</v>
      </c>
      <c r="D1882">
        <v>-2.3709669899999999</v>
      </c>
      <c r="E1882">
        <v>0</v>
      </c>
      <c r="F1882">
        <v>0</v>
      </c>
      <c r="G1882">
        <v>949.65646000000004</v>
      </c>
      <c r="I1882">
        <f t="shared" si="116"/>
        <v>0</v>
      </c>
      <c r="J1882">
        <f t="shared" si="117"/>
        <v>-47.452167353748784</v>
      </c>
      <c r="K1882">
        <f t="shared" si="118"/>
        <v>0</v>
      </c>
      <c r="L1882">
        <f t="shared" si="119"/>
        <v>0</v>
      </c>
    </row>
    <row r="1883" spans="1:12" x14ac:dyDescent="0.35">
      <c r="A1883" s="1" t="s">
        <v>64</v>
      </c>
      <c r="B1883">
        <v>0.16600000000000001</v>
      </c>
      <c r="C1883">
        <v>0</v>
      </c>
      <c r="D1883">
        <v>0</v>
      </c>
      <c r="E1883">
        <v>-132.861086</v>
      </c>
      <c r="F1883">
        <v>0</v>
      </c>
      <c r="G1883">
        <v>949.89746000000002</v>
      </c>
      <c r="I1883">
        <f t="shared" si="116"/>
        <v>0</v>
      </c>
      <c r="J1883">
        <f t="shared" si="117"/>
        <v>0</v>
      </c>
      <c r="K1883">
        <f t="shared" si="118"/>
        <v>-2659.0612666744933</v>
      </c>
      <c r="L1883">
        <f t="shared" si="119"/>
        <v>0</v>
      </c>
    </row>
    <row r="1884" spans="1:12" x14ac:dyDescent="0.35">
      <c r="A1884" s="1" t="s">
        <v>65</v>
      </c>
      <c r="B1884">
        <v>0.21199999999999999</v>
      </c>
      <c r="C1884">
        <v>0</v>
      </c>
      <c r="D1884">
        <v>2.47240752</v>
      </c>
      <c r="E1884">
        <v>0</v>
      </c>
      <c r="F1884">
        <v>0</v>
      </c>
      <c r="G1884">
        <v>950.71031000000005</v>
      </c>
      <c r="I1884">
        <f t="shared" si="116"/>
        <v>0</v>
      </c>
      <c r="J1884">
        <f t="shared" si="117"/>
        <v>49.48238246273813</v>
      </c>
      <c r="K1884">
        <f t="shared" si="118"/>
        <v>0</v>
      </c>
      <c r="L1884">
        <f t="shared" si="119"/>
        <v>0</v>
      </c>
    </row>
    <row r="1885" spans="1:12" x14ac:dyDescent="0.35">
      <c r="A1885" s="1" t="s">
        <v>66</v>
      </c>
      <c r="B1885">
        <v>0.1</v>
      </c>
      <c r="C1885">
        <v>0</v>
      </c>
      <c r="D1885">
        <v>0</v>
      </c>
      <c r="E1885">
        <v>172.62799999999999</v>
      </c>
      <c r="F1885">
        <v>0</v>
      </c>
      <c r="G1885">
        <v>950.88531</v>
      </c>
      <c r="I1885">
        <f t="shared" si="116"/>
        <v>0</v>
      </c>
      <c r="J1885">
        <f t="shared" si="117"/>
        <v>0</v>
      </c>
      <c r="K1885">
        <f t="shared" si="118"/>
        <v>3454.9501450220296</v>
      </c>
      <c r="L1885">
        <f t="shared" si="119"/>
        <v>0</v>
      </c>
    </row>
    <row r="1886" spans="1:12" x14ac:dyDescent="0.35">
      <c r="A1886" s="1" t="s">
        <v>66</v>
      </c>
      <c r="B1886">
        <v>0.1</v>
      </c>
      <c r="C1886">
        <v>0</v>
      </c>
      <c r="D1886">
        <v>0</v>
      </c>
      <c r="E1886">
        <v>172.62799999999999</v>
      </c>
      <c r="F1886">
        <v>0</v>
      </c>
      <c r="G1886">
        <f>0.1+950.88531</f>
        <v>950.98531000000003</v>
      </c>
      <c r="I1886">
        <f t="shared" si="116"/>
        <v>0</v>
      </c>
      <c r="J1886">
        <f t="shared" si="117"/>
        <v>0</v>
      </c>
      <c r="K1886">
        <f t="shared" si="118"/>
        <v>3454.9501450220296</v>
      </c>
      <c r="L1886">
        <f t="shared" si="119"/>
        <v>0</v>
      </c>
    </row>
    <row r="1887" spans="1:12" x14ac:dyDescent="0.35">
      <c r="A1887" s="1" t="s">
        <v>67</v>
      </c>
      <c r="B1887">
        <v>0.21199999999999999</v>
      </c>
      <c r="C1887">
        <v>0</v>
      </c>
      <c r="D1887">
        <v>2.47240752</v>
      </c>
      <c r="E1887">
        <v>0</v>
      </c>
      <c r="F1887">
        <v>0</v>
      </c>
      <c r="G1887">
        <v>951.27230999999995</v>
      </c>
      <c r="I1887">
        <f t="shared" si="116"/>
        <v>0</v>
      </c>
      <c r="J1887">
        <f t="shared" si="117"/>
        <v>49.48238246273813</v>
      </c>
      <c r="K1887">
        <f t="shared" si="118"/>
        <v>0</v>
      </c>
      <c r="L1887">
        <f t="shared" si="119"/>
        <v>0</v>
      </c>
    </row>
    <row r="1888" spans="1:12" x14ac:dyDescent="0.35">
      <c r="A1888" s="1" t="s">
        <v>68</v>
      </c>
      <c r="B1888">
        <v>0.09</v>
      </c>
      <c r="C1888">
        <v>0</v>
      </c>
      <c r="D1888">
        <v>0</v>
      </c>
      <c r="E1888">
        <v>0</v>
      </c>
      <c r="F1888">
        <v>-13632</v>
      </c>
      <c r="G1888">
        <v>951.42231000000004</v>
      </c>
      <c r="I1888">
        <f t="shared" si="116"/>
        <v>0</v>
      </c>
      <c r="J1888">
        <f t="shared" si="117"/>
        <v>0</v>
      </c>
      <c r="K1888">
        <f t="shared" si="118"/>
        <v>0</v>
      </c>
      <c r="L1888">
        <f t="shared" si="119"/>
        <v>-272828.74375501258</v>
      </c>
    </row>
    <row r="1889" spans="1:12" x14ac:dyDescent="0.35">
      <c r="A1889" s="1" t="s">
        <v>69</v>
      </c>
      <c r="B1889">
        <v>0.16600000000000001</v>
      </c>
      <c r="C1889">
        <v>0</v>
      </c>
      <c r="D1889">
        <v>0</v>
      </c>
      <c r="E1889">
        <v>-202.23429300000001</v>
      </c>
      <c r="F1889">
        <v>0</v>
      </c>
      <c r="G1889">
        <v>952.03916000000004</v>
      </c>
      <c r="I1889">
        <f t="shared" si="116"/>
        <v>0</v>
      </c>
      <c r="J1889">
        <f t="shared" si="117"/>
        <v>0</v>
      </c>
      <c r="K1889">
        <f t="shared" si="118"/>
        <v>-4047.4859230760812</v>
      </c>
      <c r="L1889">
        <f t="shared" si="119"/>
        <v>0</v>
      </c>
    </row>
    <row r="1890" spans="1:12" x14ac:dyDescent="0.35">
      <c r="A1890" s="1" t="s">
        <v>70</v>
      </c>
      <c r="B1890">
        <v>0.21199999999999999</v>
      </c>
      <c r="C1890">
        <v>0</v>
      </c>
      <c r="D1890">
        <v>-2.53358734</v>
      </c>
      <c r="E1890">
        <v>0</v>
      </c>
      <c r="F1890">
        <v>0</v>
      </c>
      <c r="G1890">
        <v>952.32615999999996</v>
      </c>
      <c r="I1890">
        <f t="shared" si="116"/>
        <v>0</v>
      </c>
      <c r="J1890">
        <f t="shared" si="117"/>
        <v>-50.706825936458621</v>
      </c>
      <c r="K1890">
        <f t="shared" si="118"/>
        <v>0</v>
      </c>
      <c r="L1890">
        <f t="shared" si="119"/>
        <v>0</v>
      </c>
    </row>
    <row r="1891" spans="1:12" x14ac:dyDescent="0.35">
      <c r="A1891" s="1" t="s">
        <v>20</v>
      </c>
      <c r="B1891">
        <v>0.41782794400000001</v>
      </c>
      <c r="C1891">
        <v>2.3392E-3</v>
      </c>
      <c r="D1891">
        <v>0</v>
      </c>
      <c r="E1891">
        <v>0</v>
      </c>
      <c r="F1891">
        <v>0</v>
      </c>
      <c r="G1891">
        <v>952.79098999999997</v>
      </c>
      <c r="I1891">
        <f t="shared" si="116"/>
        <v>0.11204704805350077</v>
      </c>
      <c r="J1891">
        <f t="shared" si="117"/>
        <v>0</v>
      </c>
      <c r="K1891">
        <f t="shared" si="118"/>
        <v>0</v>
      </c>
      <c r="L1891">
        <f t="shared" si="119"/>
        <v>0</v>
      </c>
    </row>
    <row r="1892" spans="1:12" x14ac:dyDescent="0.35">
      <c r="A1892" s="1" t="s">
        <v>21</v>
      </c>
      <c r="B1892">
        <v>0.41782808399999999</v>
      </c>
      <c r="C1892">
        <v>3.2192000000000002E-3</v>
      </c>
      <c r="D1892">
        <v>0</v>
      </c>
      <c r="E1892">
        <v>0</v>
      </c>
      <c r="F1892">
        <v>0</v>
      </c>
      <c r="G1892">
        <v>953.20881999999995</v>
      </c>
      <c r="I1892">
        <f t="shared" si="116"/>
        <v>0.15419875865034546</v>
      </c>
      <c r="J1892">
        <f t="shared" si="117"/>
        <v>0</v>
      </c>
      <c r="K1892">
        <f t="shared" si="118"/>
        <v>0</v>
      </c>
      <c r="L1892">
        <f t="shared" si="119"/>
        <v>0</v>
      </c>
    </row>
    <row r="1893" spans="1:12" x14ac:dyDescent="0.35">
      <c r="A1893" s="1" t="s">
        <v>22</v>
      </c>
      <c r="B1893">
        <v>0.41782827500000003</v>
      </c>
      <c r="C1893">
        <v>4.1392E-3</v>
      </c>
      <c r="D1893">
        <v>0</v>
      </c>
      <c r="E1893">
        <v>0</v>
      </c>
      <c r="F1893">
        <v>0</v>
      </c>
      <c r="G1893">
        <v>953.62665000000004</v>
      </c>
      <c r="I1893">
        <f t="shared" si="116"/>
        <v>0.19826640470947862</v>
      </c>
      <c r="J1893">
        <f t="shared" si="117"/>
        <v>0</v>
      </c>
      <c r="K1893">
        <f t="shared" si="118"/>
        <v>0</v>
      </c>
      <c r="L1893">
        <f t="shared" si="119"/>
        <v>0</v>
      </c>
    </row>
    <row r="1894" spans="1:12" x14ac:dyDescent="0.35">
      <c r="A1894" s="1" t="s">
        <v>23</v>
      </c>
      <c r="B1894">
        <v>0.41782864199999997</v>
      </c>
      <c r="C1894">
        <v>5.4992000000000001E-3</v>
      </c>
      <c r="D1894">
        <v>0</v>
      </c>
      <c r="E1894">
        <v>0</v>
      </c>
      <c r="F1894">
        <v>0</v>
      </c>
      <c r="G1894">
        <v>954.04448000000002</v>
      </c>
      <c r="I1894">
        <f t="shared" si="116"/>
        <v>0.26340975432619773</v>
      </c>
      <c r="J1894">
        <f t="shared" si="117"/>
        <v>0</v>
      </c>
      <c r="K1894">
        <f t="shared" si="118"/>
        <v>0</v>
      </c>
      <c r="L1894">
        <f t="shared" si="119"/>
        <v>0</v>
      </c>
    </row>
    <row r="1895" spans="1:12" x14ac:dyDescent="0.35">
      <c r="A1895" s="1" t="s">
        <v>24</v>
      </c>
      <c r="B1895">
        <v>0.41782941899999998</v>
      </c>
      <c r="C1895">
        <v>7.6290999999999998E-3</v>
      </c>
      <c r="D1895">
        <v>0</v>
      </c>
      <c r="E1895">
        <v>0</v>
      </c>
      <c r="F1895">
        <v>0</v>
      </c>
      <c r="G1895">
        <v>954.46231</v>
      </c>
      <c r="I1895">
        <f t="shared" si="116"/>
        <v>0.36543053893202671</v>
      </c>
      <c r="J1895">
        <f t="shared" si="117"/>
        <v>0</v>
      </c>
      <c r="K1895">
        <f t="shared" si="118"/>
        <v>0</v>
      </c>
      <c r="L1895">
        <f t="shared" si="119"/>
        <v>0</v>
      </c>
    </row>
    <row r="1896" spans="1:12" x14ac:dyDescent="0.35">
      <c r="A1896" s="1" t="s">
        <v>71</v>
      </c>
      <c r="B1896">
        <v>0.3745</v>
      </c>
      <c r="C1896">
        <v>0</v>
      </c>
      <c r="D1896">
        <v>4.5116622</v>
      </c>
      <c r="E1896">
        <v>0</v>
      </c>
      <c r="F1896">
        <v>0</v>
      </c>
      <c r="G1896">
        <v>954.98680999999999</v>
      </c>
      <c r="I1896">
        <f t="shared" si="116"/>
        <v>0</v>
      </c>
      <c r="J1896">
        <f t="shared" si="117"/>
        <v>90.29571084748946</v>
      </c>
      <c r="K1896">
        <f t="shared" si="118"/>
        <v>0</v>
      </c>
      <c r="L1896">
        <f t="shared" si="119"/>
        <v>0</v>
      </c>
    </row>
    <row r="1897" spans="1:12" x14ac:dyDescent="0.35">
      <c r="A1897" s="1" t="s">
        <v>72</v>
      </c>
      <c r="B1897">
        <v>1.0280365199999999</v>
      </c>
      <c r="C1897">
        <v>2.4767999999999998E-2</v>
      </c>
      <c r="D1897">
        <v>-1.929</v>
      </c>
      <c r="E1897">
        <v>0</v>
      </c>
      <c r="F1897">
        <v>0</v>
      </c>
      <c r="G1897">
        <v>956.10483999999997</v>
      </c>
      <c r="I1897">
        <f t="shared" si="116"/>
        <v>0.48218416286837618</v>
      </c>
      <c r="J1897">
        <f t="shared" si="117"/>
        <v>-38.606708238220314</v>
      </c>
      <c r="K1897">
        <f t="shared" si="118"/>
        <v>0</v>
      </c>
      <c r="L1897">
        <f t="shared" si="119"/>
        <v>0</v>
      </c>
    </row>
    <row r="1898" spans="1:12" x14ac:dyDescent="0.35">
      <c r="A1898" s="1" t="s">
        <v>73</v>
      </c>
      <c r="B1898">
        <v>0.4975</v>
      </c>
      <c r="C1898">
        <v>0</v>
      </c>
      <c r="D1898">
        <v>4.61414189</v>
      </c>
      <c r="E1898">
        <v>0</v>
      </c>
      <c r="F1898">
        <v>0</v>
      </c>
      <c r="G1898">
        <v>956.69233999999994</v>
      </c>
      <c r="I1898">
        <f t="shared" si="116"/>
        <v>0</v>
      </c>
      <c r="J1898">
        <f t="shared" si="117"/>
        <v>92.346723544313335</v>
      </c>
      <c r="K1898">
        <f t="shared" si="118"/>
        <v>0</v>
      </c>
      <c r="L1898">
        <f t="shared" si="119"/>
        <v>0</v>
      </c>
    </row>
    <row r="1899" spans="1:12" x14ac:dyDescent="0.35">
      <c r="A1899" s="1" t="s">
        <v>28</v>
      </c>
      <c r="B1899">
        <v>0.1</v>
      </c>
      <c r="C1899">
        <v>0</v>
      </c>
      <c r="D1899">
        <v>0</v>
      </c>
      <c r="E1899">
        <v>0</v>
      </c>
      <c r="F1899">
        <v>0</v>
      </c>
      <c r="G1899">
        <v>956.86341000000004</v>
      </c>
      <c r="I1899">
        <f t="shared" si="116"/>
        <v>0</v>
      </c>
      <c r="J1899">
        <f t="shared" si="117"/>
        <v>0</v>
      </c>
      <c r="K1899">
        <f t="shared" si="118"/>
        <v>0</v>
      </c>
      <c r="L1899">
        <f t="shared" si="119"/>
        <v>0</v>
      </c>
    </row>
    <row r="1900" spans="1:12" x14ac:dyDescent="0.35">
      <c r="A1900" s="1" t="s">
        <v>74</v>
      </c>
      <c r="B1900">
        <v>0.40000102700000001</v>
      </c>
      <c r="C1900">
        <v>5.2300999999999997E-3</v>
      </c>
      <c r="D1900">
        <v>-1.5815999999999999</v>
      </c>
      <c r="E1900">
        <v>0</v>
      </c>
      <c r="F1900">
        <v>0</v>
      </c>
      <c r="G1900">
        <v>957.35641999999996</v>
      </c>
      <c r="I1900">
        <f t="shared" si="116"/>
        <v>0.26168536331815889</v>
      </c>
      <c r="J1900">
        <f t="shared" si="117"/>
        <v>-31.653898263125576</v>
      </c>
      <c r="K1900">
        <f t="shared" si="118"/>
        <v>0</v>
      </c>
      <c r="L1900">
        <f t="shared" si="119"/>
        <v>0</v>
      </c>
    </row>
    <row r="1901" spans="1:12" x14ac:dyDescent="0.35">
      <c r="A1901" s="1" t="s">
        <v>30</v>
      </c>
      <c r="B1901">
        <v>2.44294E-2</v>
      </c>
      <c r="C1901">
        <v>1.0499000000000001E-3</v>
      </c>
      <c r="D1901">
        <v>0</v>
      </c>
      <c r="E1901">
        <v>0</v>
      </c>
      <c r="F1901">
        <v>0</v>
      </c>
      <c r="G1901">
        <v>957.45133999999996</v>
      </c>
      <c r="I1901">
        <f t="shared" si="116"/>
        <v>0.8601331402616047</v>
      </c>
      <c r="J1901">
        <f t="shared" si="117"/>
        <v>0</v>
      </c>
      <c r="K1901">
        <f t="shared" si="118"/>
        <v>0</v>
      </c>
      <c r="L1901">
        <f t="shared" si="119"/>
        <v>0</v>
      </c>
    </row>
    <row r="1902" spans="1:12" x14ac:dyDescent="0.35">
      <c r="A1902" s="1" t="s">
        <v>30</v>
      </c>
      <c r="B1902">
        <v>2.44294E-2</v>
      </c>
      <c r="C1902">
        <v>1.0499000000000001E-3</v>
      </c>
      <c r="D1902">
        <v>0</v>
      </c>
      <c r="E1902">
        <v>0</v>
      </c>
      <c r="F1902">
        <v>0</v>
      </c>
      <c r="G1902">
        <f>957.45134+0.0244294</f>
        <v>957.47576939999999</v>
      </c>
      <c r="I1902">
        <f t="shared" si="116"/>
        <v>0.8601331402616047</v>
      </c>
      <c r="J1902">
        <f t="shared" si="117"/>
        <v>0</v>
      </c>
      <c r="K1902">
        <f t="shared" si="118"/>
        <v>0</v>
      </c>
      <c r="L1902">
        <f t="shared" si="119"/>
        <v>0</v>
      </c>
    </row>
    <row r="1903" spans="1:12" x14ac:dyDescent="0.35">
      <c r="A1903" s="1" t="s">
        <v>75</v>
      </c>
      <c r="B1903">
        <v>0.40000102700000001</v>
      </c>
      <c r="C1903">
        <v>5.2300999999999997E-3</v>
      </c>
      <c r="D1903">
        <v>-1.5815999999999999</v>
      </c>
      <c r="E1903">
        <v>0</v>
      </c>
      <c r="F1903">
        <v>0</v>
      </c>
      <c r="G1903">
        <v>957.94628</v>
      </c>
      <c r="I1903">
        <f t="shared" si="116"/>
        <v>0.26168536331815889</v>
      </c>
      <c r="J1903">
        <f t="shared" si="117"/>
        <v>-31.653898263125576</v>
      </c>
      <c r="K1903">
        <f t="shared" si="118"/>
        <v>0</v>
      </c>
      <c r="L1903">
        <f t="shared" si="119"/>
        <v>0</v>
      </c>
    </row>
    <row r="1904" spans="1:12" x14ac:dyDescent="0.35">
      <c r="A1904" s="1" t="s">
        <v>76</v>
      </c>
      <c r="B1904">
        <v>0.4975</v>
      </c>
      <c r="C1904">
        <v>0</v>
      </c>
      <c r="D1904">
        <v>4.61414189</v>
      </c>
      <c r="E1904">
        <v>0</v>
      </c>
      <c r="F1904">
        <v>0</v>
      </c>
      <c r="G1904">
        <v>958.70785000000001</v>
      </c>
      <c r="I1904">
        <f t="shared" si="116"/>
        <v>0</v>
      </c>
      <c r="J1904">
        <f t="shared" si="117"/>
        <v>92.346723544313335</v>
      </c>
      <c r="K1904">
        <f t="shared" si="118"/>
        <v>0</v>
      </c>
      <c r="L1904">
        <f t="shared" si="119"/>
        <v>0</v>
      </c>
    </row>
    <row r="1905" spans="1:12" x14ac:dyDescent="0.35">
      <c r="A1905" s="1" t="s">
        <v>77</v>
      </c>
      <c r="B1905">
        <v>1.0280365199999999</v>
      </c>
      <c r="C1905">
        <v>2.4767999999999998E-2</v>
      </c>
      <c r="D1905">
        <v>-1.929</v>
      </c>
      <c r="E1905">
        <v>0</v>
      </c>
      <c r="F1905">
        <v>0</v>
      </c>
      <c r="G1905">
        <v>959.82587999999998</v>
      </c>
      <c r="I1905">
        <f t="shared" si="116"/>
        <v>0.48218416286837618</v>
      </c>
      <c r="J1905">
        <f t="shared" si="117"/>
        <v>-38.606708238220314</v>
      </c>
      <c r="K1905">
        <f t="shared" si="118"/>
        <v>0</v>
      </c>
      <c r="L1905">
        <f t="shared" si="119"/>
        <v>0</v>
      </c>
    </row>
    <row r="1906" spans="1:12" x14ac:dyDescent="0.35">
      <c r="A1906" s="1" t="s">
        <v>78</v>
      </c>
      <c r="B1906">
        <v>0.3745</v>
      </c>
      <c r="C1906">
        <v>0</v>
      </c>
      <c r="D1906">
        <v>4.5116622</v>
      </c>
      <c r="E1906">
        <v>0</v>
      </c>
      <c r="F1906">
        <v>0</v>
      </c>
      <c r="G1906">
        <v>960.29038000000003</v>
      </c>
      <c r="I1906">
        <f t="shared" si="116"/>
        <v>0</v>
      </c>
      <c r="J1906">
        <f t="shared" si="117"/>
        <v>90.29571084748946</v>
      </c>
      <c r="K1906">
        <f t="shared" si="118"/>
        <v>0</v>
      </c>
      <c r="L1906">
        <f t="shared" si="119"/>
        <v>0</v>
      </c>
    </row>
    <row r="1907" spans="1:12" x14ac:dyDescent="0.35">
      <c r="A1907" s="1" t="s">
        <v>35</v>
      </c>
      <c r="B1907">
        <v>0.41782941899999998</v>
      </c>
      <c r="C1907">
        <v>7.6290999999999998E-3</v>
      </c>
      <c r="D1907">
        <v>0</v>
      </c>
      <c r="E1907">
        <v>0</v>
      </c>
      <c r="F1907">
        <v>0</v>
      </c>
      <c r="G1907">
        <v>960.85820999999999</v>
      </c>
      <c r="I1907">
        <f t="shared" si="116"/>
        <v>0.36543053893202671</v>
      </c>
      <c r="J1907">
        <f t="shared" si="117"/>
        <v>0</v>
      </c>
      <c r="K1907">
        <f t="shared" si="118"/>
        <v>0</v>
      </c>
      <c r="L1907">
        <f t="shared" si="119"/>
        <v>0</v>
      </c>
    </row>
    <row r="1908" spans="1:12" x14ac:dyDescent="0.35">
      <c r="A1908" s="1" t="s">
        <v>36</v>
      </c>
      <c r="B1908">
        <v>0.41782864199999997</v>
      </c>
      <c r="C1908">
        <v>5.4992000000000001E-3</v>
      </c>
      <c r="D1908">
        <v>0</v>
      </c>
      <c r="E1908">
        <v>0</v>
      </c>
      <c r="F1908">
        <v>0</v>
      </c>
      <c r="G1908">
        <v>961.27603999999997</v>
      </c>
      <c r="I1908">
        <f t="shared" si="116"/>
        <v>0.26340975432619773</v>
      </c>
      <c r="J1908">
        <f t="shared" si="117"/>
        <v>0</v>
      </c>
      <c r="K1908">
        <f t="shared" si="118"/>
        <v>0</v>
      </c>
      <c r="L1908">
        <f t="shared" si="119"/>
        <v>0</v>
      </c>
    </row>
    <row r="1909" spans="1:12" x14ac:dyDescent="0.35">
      <c r="A1909" s="1" t="s">
        <v>37</v>
      </c>
      <c r="B1909">
        <v>0.41782827500000003</v>
      </c>
      <c r="C1909">
        <v>4.1392E-3</v>
      </c>
      <c r="D1909">
        <v>0</v>
      </c>
      <c r="E1909">
        <v>0</v>
      </c>
      <c r="F1909">
        <v>0</v>
      </c>
      <c r="G1909">
        <v>961.69386999999995</v>
      </c>
      <c r="I1909">
        <f t="shared" si="116"/>
        <v>0.19826640470947862</v>
      </c>
      <c r="J1909">
        <f t="shared" si="117"/>
        <v>0</v>
      </c>
      <c r="K1909">
        <f t="shared" si="118"/>
        <v>0</v>
      </c>
      <c r="L1909">
        <f t="shared" si="119"/>
        <v>0</v>
      </c>
    </row>
    <row r="1910" spans="1:12" x14ac:dyDescent="0.35">
      <c r="A1910" s="1" t="s">
        <v>38</v>
      </c>
      <c r="B1910">
        <v>0.41782808399999999</v>
      </c>
      <c r="C1910">
        <v>3.2192000000000002E-3</v>
      </c>
      <c r="D1910">
        <v>0</v>
      </c>
      <c r="E1910">
        <v>0</v>
      </c>
      <c r="F1910">
        <v>0</v>
      </c>
      <c r="G1910">
        <v>962.11170000000004</v>
      </c>
      <c r="I1910">
        <f t="shared" si="116"/>
        <v>0.15419875865034546</v>
      </c>
      <c r="J1910">
        <f t="shared" si="117"/>
        <v>0</v>
      </c>
      <c r="K1910">
        <f t="shared" si="118"/>
        <v>0</v>
      </c>
      <c r="L1910">
        <f t="shared" si="119"/>
        <v>0</v>
      </c>
    </row>
    <row r="1911" spans="1:12" x14ac:dyDescent="0.35">
      <c r="A1911" s="1" t="s">
        <v>39</v>
      </c>
      <c r="B1911">
        <v>0.41782794400000001</v>
      </c>
      <c r="C1911">
        <v>2.3392E-3</v>
      </c>
      <c r="D1911">
        <v>0</v>
      </c>
      <c r="E1911">
        <v>0</v>
      </c>
      <c r="F1911">
        <v>0</v>
      </c>
      <c r="G1911">
        <v>962.52952000000005</v>
      </c>
      <c r="I1911">
        <f t="shared" si="116"/>
        <v>0.11204704805350077</v>
      </c>
      <c r="J1911">
        <f t="shared" si="117"/>
        <v>0</v>
      </c>
      <c r="K1911">
        <f t="shared" si="118"/>
        <v>0</v>
      </c>
      <c r="L1911">
        <f t="shared" si="119"/>
        <v>0</v>
      </c>
    </row>
    <row r="1912" spans="1:12" x14ac:dyDescent="0.35">
      <c r="A1912" s="1" t="s">
        <v>79</v>
      </c>
      <c r="B1912">
        <v>0.21199999999999999</v>
      </c>
      <c r="C1912">
        <v>0</v>
      </c>
      <c r="D1912">
        <v>-2.53358734</v>
      </c>
      <c r="E1912">
        <v>0</v>
      </c>
      <c r="F1912">
        <v>0</v>
      </c>
      <c r="G1912">
        <v>962.78851999999995</v>
      </c>
      <c r="I1912">
        <f t="shared" si="116"/>
        <v>0</v>
      </c>
      <c r="J1912">
        <f t="shared" si="117"/>
        <v>-50.706825936458621</v>
      </c>
      <c r="K1912">
        <f t="shared" si="118"/>
        <v>0</v>
      </c>
      <c r="L1912">
        <f t="shared" si="119"/>
        <v>0</v>
      </c>
    </row>
    <row r="1913" spans="1:12" x14ac:dyDescent="0.35">
      <c r="A1913" s="1" t="s">
        <v>80</v>
      </c>
      <c r="B1913">
        <v>0.16600000000000001</v>
      </c>
      <c r="C1913">
        <v>0</v>
      </c>
      <c r="D1913">
        <v>0</v>
      </c>
      <c r="E1913">
        <v>-202.23429300000001</v>
      </c>
      <c r="F1913">
        <v>0</v>
      </c>
      <c r="G1913">
        <v>963.02952000000005</v>
      </c>
      <c r="I1913">
        <f t="shared" si="116"/>
        <v>0</v>
      </c>
      <c r="J1913">
        <f t="shared" si="117"/>
        <v>0</v>
      </c>
      <c r="K1913">
        <f t="shared" si="118"/>
        <v>-4047.4859230760812</v>
      </c>
      <c r="L1913">
        <f t="shared" si="119"/>
        <v>0</v>
      </c>
    </row>
    <row r="1914" spans="1:12" x14ac:dyDescent="0.35">
      <c r="A1914" s="1" t="s">
        <v>81</v>
      </c>
      <c r="B1914">
        <v>0.09</v>
      </c>
      <c r="C1914">
        <v>0</v>
      </c>
      <c r="D1914">
        <v>0</v>
      </c>
      <c r="E1914">
        <v>0</v>
      </c>
      <c r="F1914">
        <v>-13632</v>
      </c>
      <c r="G1914">
        <v>963.57038</v>
      </c>
      <c r="I1914">
        <f t="shared" si="116"/>
        <v>0</v>
      </c>
      <c r="J1914">
        <f t="shared" si="117"/>
        <v>0</v>
      </c>
      <c r="K1914">
        <f t="shared" si="118"/>
        <v>0</v>
      </c>
      <c r="L1914">
        <f t="shared" si="119"/>
        <v>-272828.74375501258</v>
      </c>
    </row>
    <row r="1915" spans="1:12" x14ac:dyDescent="0.35">
      <c r="A1915" s="1" t="s">
        <v>82</v>
      </c>
      <c r="B1915">
        <v>0.21199999999999999</v>
      </c>
      <c r="C1915">
        <v>0</v>
      </c>
      <c r="D1915">
        <v>2.47240752</v>
      </c>
      <c r="E1915">
        <v>0</v>
      </c>
      <c r="F1915">
        <v>0</v>
      </c>
      <c r="G1915">
        <v>963.84238000000005</v>
      </c>
      <c r="I1915">
        <f t="shared" si="116"/>
        <v>0</v>
      </c>
      <c r="J1915">
        <f t="shared" si="117"/>
        <v>49.48238246273813</v>
      </c>
      <c r="K1915">
        <f t="shared" si="118"/>
        <v>0</v>
      </c>
      <c r="L1915">
        <f t="shared" si="119"/>
        <v>0</v>
      </c>
    </row>
    <row r="1916" spans="1:12" x14ac:dyDescent="0.35">
      <c r="A1916" s="1" t="s">
        <v>83</v>
      </c>
      <c r="B1916">
        <v>0.1</v>
      </c>
      <c r="C1916">
        <v>0</v>
      </c>
      <c r="D1916">
        <v>0</v>
      </c>
      <c r="E1916">
        <v>172.62799999999999</v>
      </c>
      <c r="F1916">
        <v>0</v>
      </c>
      <c r="G1916">
        <v>964.01738</v>
      </c>
      <c r="I1916">
        <f t="shared" si="116"/>
        <v>0</v>
      </c>
      <c r="J1916">
        <f t="shared" si="117"/>
        <v>0</v>
      </c>
      <c r="K1916">
        <f t="shared" si="118"/>
        <v>3454.9501450220296</v>
      </c>
      <c r="L1916">
        <f t="shared" si="119"/>
        <v>0</v>
      </c>
    </row>
    <row r="1917" spans="1:12" x14ac:dyDescent="0.35">
      <c r="A1917" s="1" t="s">
        <v>83</v>
      </c>
      <c r="B1917">
        <v>0.1</v>
      </c>
      <c r="C1917">
        <v>0</v>
      </c>
      <c r="D1917">
        <v>0</v>
      </c>
      <c r="E1917">
        <v>172.62799999999999</v>
      </c>
      <c r="F1917">
        <v>0</v>
      </c>
      <c r="G1917">
        <f>0.1+964.01738</f>
        <v>964.11738000000003</v>
      </c>
      <c r="I1917">
        <f t="shared" si="116"/>
        <v>0</v>
      </c>
      <c r="J1917">
        <f t="shared" si="117"/>
        <v>0</v>
      </c>
      <c r="K1917">
        <f t="shared" si="118"/>
        <v>3454.9501450220296</v>
      </c>
      <c r="L1917">
        <f t="shared" si="119"/>
        <v>0</v>
      </c>
    </row>
    <row r="1918" spans="1:12" x14ac:dyDescent="0.35">
      <c r="A1918" s="1" t="s">
        <v>84</v>
      </c>
      <c r="B1918">
        <v>0.21199999999999999</v>
      </c>
      <c r="C1918">
        <v>0</v>
      </c>
      <c r="D1918">
        <v>2.47240752</v>
      </c>
      <c r="E1918">
        <v>0</v>
      </c>
      <c r="F1918">
        <v>0</v>
      </c>
      <c r="G1918">
        <v>964.40437999999995</v>
      </c>
      <c r="I1918">
        <f t="shared" si="116"/>
        <v>0</v>
      </c>
      <c r="J1918">
        <f t="shared" si="117"/>
        <v>49.48238246273813</v>
      </c>
      <c r="K1918">
        <f t="shared" si="118"/>
        <v>0</v>
      </c>
      <c r="L1918">
        <f t="shared" si="119"/>
        <v>0</v>
      </c>
    </row>
    <row r="1919" spans="1:12" x14ac:dyDescent="0.35">
      <c r="A1919" s="1" t="s">
        <v>85</v>
      </c>
      <c r="B1919">
        <v>0.16600000000000001</v>
      </c>
      <c r="C1919">
        <v>0</v>
      </c>
      <c r="D1919">
        <v>0</v>
      </c>
      <c r="E1919">
        <v>-132.861086</v>
      </c>
      <c r="F1919">
        <v>0</v>
      </c>
      <c r="G1919">
        <v>965.17123000000004</v>
      </c>
      <c r="I1919">
        <f t="shared" si="116"/>
        <v>0</v>
      </c>
      <c r="J1919">
        <f t="shared" si="117"/>
        <v>0</v>
      </c>
      <c r="K1919">
        <f t="shared" si="118"/>
        <v>-2659.0612666744933</v>
      </c>
      <c r="L1919">
        <f t="shared" si="119"/>
        <v>0</v>
      </c>
    </row>
    <row r="1920" spans="1:12" x14ac:dyDescent="0.35">
      <c r="A1920" s="1" t="s">
        <v>86</v>
      </c>
      <c r="B1920">
        <v>0.21199999999999999</v>
      </c>
      <c r="C1920">
        <v>0</v>
      </c>
      <c r="D1920">
        <v>-2.3709669899999999</v>
      </c>
      <c r="E1920">
        <v>0</v>
      </c>
      <c r="F1920">
        <v>0</v>
      </c>
      <c r="G1920">
        <v>965.45822999999996</v>
      </c>
      <c r="I1920">
        <f t="shared" si="116"/>
        <v>0</v>
      </c>
      <c r="J1920">
        <f t="shared" si="117"/>
        <v>-47.452167353748784</v>
      </c>
      <c r="K1920">
        <f t="shared" si="118"/>
        <v>0</v>
      </c>
      <c r="L1920">
        <f t="shared" si="119"/>
        <v>0</v>
      </c>
    </row>
    <row r="1921" spans="1:12" x14ac:dyDescent="0.35">
      <c r="A1921" s="1" t="s">
        <v>48</v>
      </c>
      <c r="B1921">
        <v>0.41782794400000001</v>
      </c>
      <c r="C1921">
        <v>2.3392E-3</v>
      </c>
      <c r="D1921">
        <v>0</v>
      </c>
      <c r="E1921">
        <v>0</v>
      </c>
      <c r="F1921">
        <v>0</v>
      </c>
      <c r="G1921">
        <v>965.92305999999996</v>
      </c>
      <c r="I1921">
        <f t="shared" si="116"/>
        <v>0.11204704805350077</v>
      </c>
      <c r="J1921">
        <f t="shared" si="117"/>
        <v>0</v>
      </c>
      <c r="K1921">
        <f t="shared" si="118"/>
        <v>0</v>
      </c>
      <c r="L1921">
        <f t="shared" si="119"/>
        <v>0</v>
      </c>
    </row>
    <row r="1922" spans="1:12" x14ac:dyDescent="0.35">
      <c r="A1922" s="1" t="s">
        <v>49</v>
      </c>
      <c r="B1922">
        <v>0.41782808399999999</v>
      </c>
      <c r="C1922">
        <v>3.2192000000000002E-3</v>
      </c>
      <c r="D1922">
        <v>0</v>
      </c>
      <c r="E1922">
        <v>0</v>
      </c>
      <c r="F1922">
        <v>0</v>
      </c>
      <c r="G1922">
        <v>966.34088999999994</v>
      </c>
      <c r="I1922">
        <f t="shared" si="116"/>
        <v>0.15419875865034546</v>
      </c>
      <c r="J1922">
        <f t="shared" si="117"/>
        <v>0</v>
      </c>
      <c r="K1922">
        <f t="shared" si="118"/>
        <v>0</v>
      </c>
      <c r="L1922">
        <f t="shared" si="119"/>
        <v>0</v>
      </c>
    </row>
    <row r="1923" spans="1:12" x14ac:dyDescent="0.35">
      <c r="A1923" s="1" t="s">
        <v>50</v>
      </c>
      <c r="B1923">
        <v>0.41782827500000003</v>
      </c>
      <c r="C1923">
        <v>4.1392E-3</v>
      </c>
      <c r="D1923">
        <v>0</v>
      </c>
      <c r="E1923">
        <v>0</v>
      </c>
      <c r="F1923">
        <v>0</v>
      </c>
      <c r="G1923">
        <v>966.75872000000004</v>
      </c>
      <c r="I1923">
        <f t="shared" si="116"/>
        <v>0.19826640470947862</v>
      </c>
      <c r="J1923">
        <f t="shared" si="117"/>
        <v>0</v>
      </c>
      <c r="K1923">
        <f t="shared" si="118"/>
        <v>0</v>
      </c>
      <c r="L1923">
        <f t="shared" si="119"/>
        <v>0</v>
      </c>
    </row>
    <row r="1924" spans="1:12" x14ac:dyDescent="0.35">
      <c r="A1924" s="1" t="s">
        <v>51</v>
      </c>
      <c r="B1924">
        <v>0.41782864199999997</v>
      </c>
      <c r="C1924">
        <v>5.4992000000000001E-3</v>
      </c>
      <c r="D1924">
        <v>0</v>
      </c>
      <c r="E1924">
        <v>0</v>
      </c>
      <c r="F1924">
        <v>0</v>
      </c>
      <c r="G1924">
        <v>967.17654000000005</v>
      </c>
      <c r="I1924">
        <f t="shared" ref="I1924:I1987" si="120">$H$2*$C1924/$B1924</f>
        <v>0.26340975432619773</v>
      </c>
      <c r="J1924">
        <f t="shared" ref="J1924:J1987" si="121">$H$2*$D1924</f>
        <v>0</v>
      </c>
      <c r="K1924">
        <f t="shared" ref="K1924:K1987" si="122">$H$2*$E1924</f>
        <v>0</v>
      </c>
      <c r="L1924">
        <f t="shared" ref="L1924:L1987" si="123">$H$2*$F1924</f>
        <v>0</v>
      </c>
    </row>
    <row r="1925" spans="1:12" x14ac:dyDescent="0.35">
      <c r="A1925" s="1" t="s">
        <v>52</v>
      </c>
      <c r="B1925">
        <v>0.41783028900000002</v>
      </c>
      <c r="C1925">
        <v>9.4690999999999994E-3</v>
      </c>
      <c r="D1925">
        <v>0</v>
      </c>
      <c r="E1925">
        <v>0</v>
      </c>
      <c r="F1925">
        <v>0</v>
      </c>
      <c r="G1925">
        <v>967.59437000000003</v>
      </c>
      <c r="I1925">
        <f t="shared" si="120"/>
        <v>0.45356478630764774</v>
      </c>
      <c r="J1925">
        <f t="shared" si="121"/>
        <v>0</v>
      </c>
      <c r="K1925">
        <f t="shared" si="122"/>
        <v>0</v>
      </c>
      <c r="L1925">
        <f t="shared" si="123"/>
        <v>0</v>
      </c>
    </row>
    <row r="1926" spans="1:12" x14ac:dyDescent="0.35">
      <c r="A1926" s="1" t="s">
        <v>87</v>
      </c>
      <c r="B1926">
        <v>0.16200000000000001</v>
      </c>
      <c r="C1926">
        <v>0</v>
      </c>
      <c r="D1926">
        <v>-2.8698264299999998</v>
      </c>
      <c r="E1926">
        <v>0</v>
      </c>
      <c r="F1926">
        <v>0</v>
      </c>
      <c r="G1926">
        <v>967.80336999999997</v>
      </c>
      <c r="I1926">
        <f t="shared" si="120"/>
        <v>0</v>
      </c>
      <c r="J1926">
        <f t="shared" si="121"/>
        <v>-57.436263181619168</v>
      </c>
      <c r="K1926">
        <f t="shared" si="122"/>
        <v>0</v>
      </c>
      <c r="L1926">
        <f t="shared" si="123"/>
        <v>0</v>
      </c>
    </row>
    <row r="1927" spans="1:12" x14ac:dyDescent="0.35">
      <c r="A1927" s="1" t="s">
        <v>54</v>
      </c>
      <c r="B1927">
        <v>0.1</v>
      </c>
      <c r="C1927">
        <v>0</v>
      </c>
      <c r="D1927">
        <v>0</v>
      </c>
      <c r="E1927">
        <v>0</v>
      </c>
      <c r="F1927">
        <v>0</v>
      </c>
      <c r="G1927">
        <v>968.13337000000001</v>
      </c>
      <c r="I1927">
        <f t="shared" si="120"/>
        <v>0</v>
      </c>
      <c r="J1927">
        <f t="shared" si="121"/>
        <v>0</v>
      </c>
      <c r="K1927">
        <f t="shared" si="122"/>
        <v>0</v>
      </c>
      <c r="L1927">
        <f t="shared" si="123"/>
        <v>0</v>
      </c>
    </row>
    <row r="1928" spans="1:12" x14ac:dyDescent="0.35">
      <c r="A1928" s="1" t="s">
        <v>88</v>
      </c>
      <c r="B1928">
        <v>0.29499999999999998</v>
      </c>
      <c r="C1928">
        <v>0</v>
      </c>
      <c r="D1928">
        <v>2.43875777</v>
      </c>
      <c r="E1928">
        <v>0</v>
      </c>
      <c r="F1928">
        <v>0</v>
      </c>
      <c r="G1928">
        <v>968.53836999999999</v>
      </c>
      <c r="I1928">
        <f t="shared" si="120"/>
        <v>0</v>
      </c>
      <c r="J1928">
        <f t="shared" si="121"/>
        <v>48.808921560436907</v>
      </c>
      <c r="K1928">
        <f t="shared" si="122"/>
        <v>0</v>
      </c>
      <c r="L1928">
        <f t="shared" si="123"/>
        <v>0</v>
      </c>
    </row>
    <row r="1929" spans="1:12" x14ac:dyDescent="0.35">
      <c r="A1929" s="1" t="s">
        <v>56</v>
      </c>
      <c r="B1929">
        <v>0.29499999999999998</v>
      </c>
      <c r="C1929">
        <v>0</v>
      </c>
      <c r="D1929">
        <v>2.43875777</v>
      </c>
      <c r="E1929">
        <v>0</v>
      </c>
      <c r="F1929">
        <v>0</v>
      </c>
      <c r="G1929">
        <v>974.41152999999997</v>
      </c>
      <c r="I1929">
        <f t="shared" si="120"/>
        <v>0</v>
      </c>
      <c r="J1929">
        <f t="shared" si="121"/>
        <v>48.808921560436907</v>
      </c>
      <c r="K1929">
        <f t="shared" si="122"/>
        <v>0</v>
      </c>
      <c r="L1929">
        <f t="shared" si="123"/>
        <v>0</v>
      </c>
    </row>
    <row r="1930" spans="1:12" x14ac:dyDescent="0.35">
      <c r="A1930" s="1" t="s">
        <v>2</v>
      </c>
      <c r="B1930">
        <v>0.1</v>
      </c>
      <c r="C1930">
        <v>0</v>
      </c>
      <c r="D1930">
        <v>0</v>
      </c>
      <c r="E1930">
        <v>0</v>
      </c>
      <c r="F1930">
        <v>0</v>
      </c>
      <c r="G1930">
        <v>974.62153000000001</v>
      </c>
      <c r="I1930">
        <f t="shared" si="120"/>
        <v>0</v>
      </c>
      <c r="J1930">
        <f t="shared" si="121"/>
        <v>0</v>
      </c>
      <c r="K1930">
        <f t="shared" si="122"/>
        <v>0</v>
      </c>
      <c r="L1930">
        <f t="shared" si="123"/>
        <v>0</v>
      </c>
    </row>
    <row r="1931" spans="1:12" x14ac:dyDescent="0.35">
      <c r="A1931" s="1" t="s">
        <v>57</v>
      </c>
      <c r="B1931">
        <v>0.16200000000000001</v>
      </c>
      <c r="C1931">
        <v>0</v>
      </c>
      <c r="D1931">
        <v>-2.8698264299999998</v>
      </c>
      <c r="E1931">
        <v>0</v>
      </c>
      <c r="F1931">
        <v>0</v>
      </c>
      <c r="G1931">
        <v>975.01352999999995</v>
      </c>
      <c r="I1931">
        <f t="shared" si="120"/>
        <v>0</v>
      </c>
      <c r="J1931">
        <f t="shared" si="121"/>
        <v>-57.436263181619168</v>
      </c>
      <c r="K1931">
        <f t="shared" si="122"/>
        <v>0</v>
      </c>
      <c r="L1931">
        <f t="shared" si="123"/>
        <v>0</v>
      </c>
    </row>
    <row r="1932" spans="1:12" x14ac:dyDescent="0.35">
      <c r="A1932" s="1" t="s">
        <v>58</v>
      </c>
      <c r="B1932">
        <v>0.41783028900000002</v>
      </c>
      <c r="C1932">
        <v>9.4690999999999994E-3</v>
      </c>
      <c r="D1932">
        <v>0</v>
      </c>
      <c r="E1932">
        <v>0</v>
      </c>
      <c r="F1932">
        <v>0</v>
      </c>
      <c r="G1932">
        <v>975.47835999999995</v>
      </c>
      <c r="I1932">
        <f t="shared" si="120"/>
        <v>0.45356478630764774</v>
      </c>
      <c r="J1932">
        <f t="shared" si="121"/>
        <v>0</v>
      </c>
      <c r="K1932">
        <f t="shared" si="122"/>
        <v>0</v>
      </c>
      <c r="L1932">
        <f t="shared" si="123"/>
        <v>0</v>
      </c>
    </row>
    <row r="1933" spans="1:12" x14ac:dyDescent="0.35">
      <c r="A1933" s="1" t="s">
        <v>59</v>
      </c>
      <c r="B1933">
        <v>0.41782864199999997</v>
      </c>
      <c r="C1933">
        <v>5.4992000000000001E-3</v>
      </c>
      <c r="D1933">
        <v>0</v>
      </c>
      <c r="E1933">
        <v>0</v>
      </c>
      <c r="F1933">
        <v>0</v>
      </c>
      <c r="G1933">
        <v>975.89619000000005</v>
      </c>
      <c r="I1933">
        <f t="shared" si="120"/>
        <v>0.26340975432619773</v>
      </c>
      <c r="J1933">
        <f t="shared" si="121"/>
        <v>0</v>
      </c>
      <c r="K1933">
        <f t="shared" si="122"/>
        <v>0</v>
      </c>
      <c r="L1933">
        <f t="shared" si="123"/>
        <v>0</v>
      </c>
    </row>
    <row r="1934" spans="1:12" x14ac:dyDescent="0.35">
      <c r="A1934" s="1" t="s">
        <v>60</v>
      </c>
      <c r="B1934">
        <v>0.41782827500000003</v>
      </c>
      <c r="C1934">
        <v>4.1392E-3</v>
      </c>
      <c r="D1934">
        <v>0</v>
      </c>
      <c r="E1934">
        <v>0</v>
      </c>
      <c r="F1934">
        <v>0</v>
      </c>
      <c r="G1934">
        <v>976.31401000000005</v>
      </c>
      <c r="I1934">
        <f t="shared" si="120"/>
        <v>0.19826640470947862</v>
      </c>
      <c r="J1934">
        <f t="shared" si="121"/>
        <v>0</v>
      </c>
      <c r="K1934">
        <f t="shared" si="122"/>
        <v>0</v>
      </c>
      <c r="L1934">
        <f t="shared" si="123"/>
        <v>0</v>
      </c>
    </row>
    <row r="1935" spans="1:12" x14ac:dyDescent="0.35">
      <c r="A1935" s="1" t="s">
        <v>61</v>
      </c>
      <c r="B1935">
        <v>0.41782808399999999</v>
      </c>
      <c r="C1935">
        <v>3.2192000000000002E-3</v>
      </c>
      <c r="D1935">
        <v>0</v>
      </c>
      <c r="E1935">
        <v>0</v>
      </c>
      <c r="F1935">
        <v>0</v>
      </c>
      <c r="G1935">
        <v>976.73184000000003</v>
      </c>
      <c r="I1935">
        <f t="shared" si="120"/>
        <v>0.15419875865034546</v>
      </c>
      <c r="J1935">
        <f t="shared" si="121"/>
        <v>0</v>
      </c>
      <c r="K1935">
        <f t="shared" si="122"/>
        <v>0</v>
      </c>
      <c r="L1935">
        <f t="shared" si="123"/>
        <v>0</v>
      </c>
    </row>
    <row r="1936" spans="1:12" x14ac:dyDescent="0.35">
      <c r="A1936" s="1" t="s">
        <v>62</v>
      </c>
      <c r="B1936">
        <v>0.41782794400000001</v>
      </c>
      <c r="C1936">
        <v>2.3392E-3</v>
      </c>
      <c r="D1936">
        <v>0</v>
      </c>
      <c r="E1936">
        <v>0</v>
      </c>
      <c r="F1936">
        <v>0</v>
      </c>
      <c r="G1936">
        <v>977.14967000000001</v>
      </c>
      <c r="I1936">
        <f t="shared" si="120"/>
        <v>0.11204704805350077</v>
      </c>
      <c r="J1936">
        <f t="shared" si="121"/>
        <v>0</v>
      </c>
      <c r="K1936">
        <f t="shared" si="122"/>
        <v>0</v>
      </c>
      <c r="L1936">
        <f t="shared" si="123"/>
        <v>0</v>
      </c>
    </row>
    <row r="1937" spans="1:12" x14ac:dyDescent="0.35">
      <c r="A1937" s="1" t="s">
        <v>63</v>
      </c>
      <c r="B1937">
        <v>0.21199999999999999</v>
      </c>
      <c r="C1937">
        <v>0</v>
      </c>
      <c r="D1937">
        <v>-2.3709669899999999</v>
      </c>
      <c r="E1937">
        <v>0</v>
      </c>
      <c r="F1937">
        <v>0</v>
      </c>
      <c r="G1937">
        <v>977.40867000000003</v>
      </c>
      <c r="I1937">
        <f t="shared" si="120"/>
        <v>0</v>
      </c>
      <c r="J1937">
        <f t="shared" si="121"/>
        <v>-47.452167353748784</v>
      </c>
      <c r="K1937">
        <f t="shared" si="122"/>
        <v>0</v>
      </c>
      <c r="L1937">
        <f t="shared" si="123"/>
        <v>0</v>
      </c>
    </row>
    <row r="1938" spans="1:12" x14ac:dyDescent="0.35">
      <c r="A1938" s="1" t="s">
        <v>64</v>
      </c>
      <c r="B1938">
        <v>0.16600000000000001</v>
      </c>
      <c r="C1938">
        <v>0</v>
      </c>
      <c r="D1938">
        <v>0</v>
      </c>
      <c r="E1938">
        <v>-132.861086</v>
      </c>
      <c r="F1938">
        <v>0</v>
      </c>
      <c r="G1938">
        <v>977.64967000000001</v>
      </c>
      <c r="I1938">
        <f t="shared" si="120"/>
        <v>0</v>
      </c>
      <c r="J1938">
        <f t="shared" si="121"/>
        <v>0</v>
      </c>
      <c r="K1938">
        <f t="shared" si="122"/>
        <v>-2659.0612666744933</v>
      </c>
      <c r="L1938">
        <f t="shared" si="123"/>
        <v>0</v>
      </c>
    </row>
    <row r="1939" spans="1:12" x14ac:dyDescent="0.35">
      <c r="A1939" s="1" t="s">
        <v>65</v>
      </c>
      <c r="B1939">
        <v>0.21199999999999999</v>
      </c>
      <c r="C1939">
        <v>0</v>
      </c>
      <c r="D1939">
        <v>2.47240752</v>
      </c>
      <c r="E1939">
        <v>0</v>
      </c>
      <c r="F1939">
        <v>0</v>
      </c>
      <c r="G1939">
        <v>978.46252000000004</v>
      </c>
      <c r="I1939">
        <f t="shared" si="120"/>
        <v>0</v>
      </c>
      <c r="J1939">
        <f t="shared" si="121"/>
        <v>49.48238246273813</v>
      </c>
      <c r="K1939">
        <f t="shared" si="122"/>
        <v>0</v>
      </c>
      <c r="L1939">
        <f t="shared" si="123"/>
        <v>0</v>
      </c>
    </row>
    <row r="1940" spans="1:12" x14ac:dyDescent="0.35">
      <c r="A1940" s="1" t="s">
        <v>66</v>
      </c>
      <c r="B1940">
        <v>0.1</v>
      </c>
      <c r="C1940">
        <v>0</v>
      </c>
      <c r="D1940">
        <v>0</v>
      </c>
      <c r="E1940">
        <v>172.62799999999999</v>
      </c>
      <c r="F1940">
        <v>0</v>
      </c>
      <c r="G1940">
        <v>978.63751999999999</v>
      </c>
      <c r="I1940">
        <f t="shared" si="120"/>
        <v>0</v>
      </c>
      <c r="J1940">
        <f t="shared" si="121"/>
        <v>0</v>
      </c>
      <c r="K1940">
        <f t="shared" si="122"/>
        <v>3454.9501450220296</v>
      </c>
      <c r="L1940">
        <f t="shared" si="123"/>
        <v>0</v>
      </c>
    </row>
    <row r="1941" spans="1:12" x14ac:dyDescent="0.35">
      <c r="A1941" s="1" t="s">
        <v>66</v>
      </c>
      <c r="B1941">
        <v>0.1</v>
      </c>
      <c r="C1941">
        <v>0</v>
      </c>
      <c r="D1941">
        <v>0</v>
      </c>
      <c r="E1941">
        <v>172.62799999999999</v>
      </c>
      <c r="F1941">
        <v>0</v>
      </c>
      <c r="G1941">
        <f>0.1+978.63752</f>
        <v>978.73752000000002</v>
      </c>
      <c r="I1941">
        <f t="shared" si="120"/>
        <v>0</v>
      </c>
      <c r="J1941">
        <f t="shared" si="121"/>
        <v>0</v>
      </c>
      <c r="K1941">
        <f t="shared" si="122"/>
        <v>3454.9501450220296</v>
      </c>
      <c r="L1941">
        <f t="shared" si="123"/>
        <v>0</v>
      </c>
    </row>
    <row r="1942" spans="1:12" x14ac:dyDescent="0.35">
      <c r="A1942" s="1" t="s">
        <v>67</v>
      </c>
      <c r="B1942">
        <v>0.21199999999999999</v>
      </c>
      <c r="C1942">
        <v>0</v>
      </c>
      <c r="D1942">
        <v>2.47240752</v>
      </c>
      <c r="E1942">
        <v>0</v>
      </c>
      <c r="F1942">
        <v>0</v>
      </c>
      <c r="G1942">
        <v>979.02452000000005</v>
      </c>
      <c r="I1942">
        <f t="shared" si="120"/>
        <v>0</v>
      </c>
      <c r="J1942">
        <f t="shared" si="121"/>
        <v>49.48238246273813</v>
      </c>
      <c r="K1942">
        <f t="shared" si="122"/>
        <v>0</v>
      </c>
      <c r="L1942">
        <f t="shared" si="123"/>
        <v>0</v>
      </c>
    </row>
    <row r="1943" spans="1:12" x14ac:dyDescent="0.35">
      <c r="A1943" s="1" t="s">
        <v>68</v>
      </c>
      <c r="B1943">
        <v>0.09</v>
      </c>
      <c r="C1943">
        <v>0</v>
      </c>
      <c r="D1943">
        <v>0</v>
      </c>
      <c r="E1943">
        <v>0</v>
      </c>
      <c r="F1943">
        <v>-13632</v>
      </c>
      <c r="G1943">
        <v>979.17452000000003</v>
      </c>
      <c r="I1943">
        <f t="shared" si="120"/>
        <v>0</v>
      </c>
      <c r="J1943">
        <f t="shared" si="121"/>
        <v>0</v>
      </c>
      <c r="K1943">
        <f t="shared" si="122"/>
        <v>0</v>
      </c>
      <c r="L1943">
        <f t="shared" si="123"/>
        <v>-272828.74375501258</v>
      </c>
    </row>
    <row r="1944" spans="1:12" x14ac:dyDescent="0.35">
      <c r="A1944" s="1" t="s">
        <v>69</v>
      </c>
      <c r="B1944">
        <v>0.16600000000000001</v>
      </c>
      <c r="C1944">
        <v>0</v>
      </c>
      <c r="D1944">
        <v>0</v>
      </c>
      <c r="E1944">
        <v>-202.23429300000001</v>
      </c>
      <c r="F1944">
        <v>0</v>
      </c>
      <c r="G1944">
        <v>979.79138</v>
      </c>
      <c r="I1944">
        <f t="shared" si="120"/>
        <v>0</v>
      </c>
      <c r="J1944">
        <f t="shared" si="121"/>
        <v>0</v>
      </c>
      <c r="K1944">
        <f t="shared" si="122"/>
        <v>-4047.4859230760812</v>
      </c>
      <c r="L1944">
        <f t="shared" si="123"/>
        <v>0</v>
      </c>
    </row>
    <row r="1945" spans="1:12" x14ac:dyDescent="0.35">
      <c r="A1945" s="1" t="s">
        <v>70</v>
      </c>
      <c r="B1945">
        <v>0.21199999999999999</v>
      </c>
      <c r="C1945">
        <v>0</v>
      </c>
      <c r="D1945">
        <v>-2.53358734</v>
      </c>
      <c r="E1945">
        <v>0</v>
      </c>
      <c r="F1945">
        <v>0</v>
      </c>
      <c r="G1945">
        <v>980.07838000000004</v>
      </c>
      <c r="I1945">
        <f t="shared" si="120"/>
        <v>0</v>
      </c>
      <c r="J1945">
        <f t="shared" si="121"/>
        <v>-50.706825936458621</v>
      </c>
      <c r="K1945">
        <f t="shared" si="122"/>
        <v>0</v>
      </c>
      <c r="L1945">
        <f t="shared" si="123"/>
        <v>0</v>
      </c>
    </row>
    <row r="1946" spans="1:12" x14ac:dyDescent="0.35">
      <c r="A1946" s="1" t="s">
        <v>20</v>
      </c>
      <c r="B1946">
        <v>0.41782794400000001</v>
      </c>
      <c r="C1946">
        <v>2.3392E-3</v>
      </c>
      <c r="D1946">
        <v>0</v>
      </c>
      <c r="E1946">
        <v>0</v>
      </c>
      <c r="F1946">
        <v>0</v>
      </c>
      <c r="G1946">
        <v>980.54321000000004</v>
      </c>
      <c r="I1946">
        <f t="shared" si="120"/>
        <v>0.11204704805350077</v>
      </c>
      <c r="J1946">
        <f t="shared" si="121"/>
        <v>0</v>
      </c>
      <c r="K1946">
        <f t="shared" si="122"/>
        <v>0</v>
      </c>
      <c r="L1946">
        <f t="shared" si="123"/>
        <v>0</v>
      </c>
    </row>
    <row r="1947" spans="1:12" x14ac:dyDescent="0.35">
      <c r="A1947" s="1" t="s">
        <v>21</v>
      </c>
      <c r="B1947">
        <v>0.41782808399999999</v>
      </c>
      <c r="C1947">
        <v>3.2192000000000002E-3</v>
      </c>
      <c r="D1947">
        <v>0</v>
      </c>
      <c r="E1947">
        <v>0</v>
      </c>
      <c r="F1947">
        <v>0</v>
      </c>
      <c r="G1947">
        <v>980.96103000000005</v>
      </c>
      <c r="I1947">
        <f t="shared" si="120"/>
        <v>0.15419875865034546</v>
      </c>
      <c r="J1947">
        <f t="shared" si="121"/>
        <v>0</v>
      </c>
      <c r="K1947">
        <f t="shared" si="122"/>
        <v>0</v>
      </c>
      <c r="L1947">
        <f t="shared" si="123"/>
        <v>0</v>
      </c>
    </row>
    <row r="1948" spans="1:12" x14ac:dyDescent="0.35">
      <c r="A1948" s="1" t="s">
        <v>22</v>
      </c>
      <c r="B1948">
        <v>0.41782827500000003</v>
      </c>
      <c r="C1948">
        <v>4.1392E-3</v>
      </c>
      <c r="D1948">
        <v>0</v>
      </c>
      <c r="E1948">
        <v>0</v>
      </c>
      <c r="F1948">
        <v>0</v>
      </c>
      <c r="G1948">
        <v>981.37886000000003</v>
      </c>
      <c r="I1948">
        <f t="shared" si="120"/>
        <v>0.19826640470947862</v>
      </c>
      <c r="J1948">
        <f t="shared" si="121"/>
        <v>0</v>
      </c>
      <c r="K1948">
        <f t="shared" si="122"/>
        <v>0</v>
      </c>
      <c r="L1948">
        <f t="shared" si="123"/>
        <v>0</v>
      </c>
    </row>
    <row r="1949" spans="1:12" x14ac:dyDescent="0.35">
      <c r="A1949" s="1" t="s">
        <v>23</v>
      </c>
      <c r="B1949">
        <v>0.41782864199999997</v>
      </c>
      <c r="C1949">
        <v>5.4992000000000001E-3</v>
      </c>
      <c r="D1949">
        <v>0</v>
      </c>
      <c r="E1949">
        <v>0</v>
      </c>
      <c r="F1949">
        <v>0</v>
      </c>
      <c r="G1949">
        <v>981.79669000000001</v>
      </c>
      <c r="I1949">
        <f t="shared" si="120"/>
        <v>0.26340975432619773</v>
      </c>
      <c r="J1949">
        <f t="shared" si="121"/>
        <v>0</v>
      </c>
      <c r="K1949">
        <f t="shared" si="122"/>
        <v>0</v>
      </c>
      <c r="L1949">
        <f t="shared" si="123"/>
        <v>0</v>
      </c>
    </row>
    <row r="1950" spans="1:12" x14ac:dyDescent="0.35">
      <c r="A1950" s="1" t="s">
        <v>24</v>
      </c>
      <c r="B1950">
        <v>0.41782941899999998</v>
      </c>
      <c r="C1950">
        <v>7.6290999999999998E-3</v>
      </c>
      <c r="D1950">
        <v>0</v>
      </c>
      <c r="E1950">
        <v>0</v>
      </c>
      <c r="F1950">
        <v>0</v>
      </c>
      <c r="G1950">
        <v>982.21451999999999</v>
      </c>
      <c r="I1950">
        <f t="shared" si="120"/>
        <v>0.36543053893202671</v>
      </c>
      <c r="J1950">
        <f t="shared" si="121"/>
        <v>0</v>
      </c>
      <c r="K1950">
        <f t="shared" si="122"/>
        <v>0</v>
      </c>
      <c r="L1950">
        <f t="shared" si="123"/>
        <v>0</v>
      </c>
    </row>
    <row r="1951" spans="1:12" x14ac:dyDescent="0.35">
      <c r="A1951" s="1" t="s">
        <v>71</v>
      </c>
      <c r="B1951">
        <v>0.3745</v>
      </c>
      <c r="C1951">
        <v>0</v>
      </c>
      <c r="D1951">
        <v>4.5116622</v>
      </c>
      <c r="E1951">
        <v>0</v>
      </c>
      <c r="F1951">
        <v>0</v>
      </c>
      <c r="G1951">
        <v>982.73901999999998</v>
      </c>
      <c r="I1951">
        <f t="shared" si="120"/>
        <v>0</v>
      </c>
      <c r="J1951">
        <f t="shared" si="121"/>
        <v>90.29571084748946</v>
      </c>
      <c r="K1951">
        <f t="shared" si="122"/>
        <v>0</v>
      </c>
      <c r="L1951">
        <f t="shared" si="123"/>
        <v>0</v>
      </c>
    </row>
    <row r="1952" spans="1:12" x14ac:dyDescent="0.35">
      <c r="A1952" s="1" t="s">
        <v>72</v>
      </c>
      <c r="B1952">
        <v>1.0280365199999999</v>
      </c>
      <c r="C1952">
        <v>2.4767999999999998E-2</v>
      </c>
      <c r="D1952">
        <v>-1.929</v>
      </c>
      <c r="E1952">
        <v>0</v>
      </c>
      <c r="F1952">
        <v>0</v>
      </c>
      <c r="G1952">
        <v>983.85706000000005</v>
      </c>
      <c r="I1952">
        <f t="shared" si="120"/>
        <v>0.48218416286837618</v>
      </c>
      <c r="J1952">
        <f t="shared" si="121"/>
        <v>-38.606708238220314</v>
      </c>
      <c r="K1952">
        <f t="shared" si="122"/>
        <v>0</v>
      </c>
      <c r="L1952">
        <f t="shared" si="123"/>
        <v>0</v>
      </c>
    </row>
    <row r="1953" spans="1:12" x14ac:dyDescent="0.35">
      <c r="A1953" s="1" t="s">
        <v>73</v>
      </c>
      <c r="B1953">
        <v>0.4975</v>
      </c>
      <c r="C1953">
        <v>0</v>
      </c>
      <c r="D1953">
        <v>4.61414189</v>
      </c>
      <c r="E1953">
        <v>0</v>
      </c>
      <c r="F1953">
        <v>0</v>
      </c>
      <c r="G1953">
        <v>984.44456000000002</v>
      </c>
      <c r="I1953">
        <f t="shared" si="120"/>
        <v>0</v>
      </c>
      <c r="J1953">
        <f t="shared" si="121"/>
        <v>92.346723544313335</v>
      </c>
      <c r="K1953">
        <f t="shared" si="122"/>
        <v>0</v>
      </c>
      <c r="L1953">
        <f t="shared" si="123"/>
        <v>0</v>
      </c>
    </row>
    <row r="1954" spans="1:12" x14ac:dyDescent="0.35">
      <c r="A1954" s="1" t="s">
        <v>28</v>
      </c>
      <c r="B1954">
        <v>0.1</v>
      </c>
      <c r="C1954">
        <v>0</v>
      </c>
      <c r="D1954">
        <v>0</v>
      </c>
      <c r="E1954">
        <v>0</v>
      </c>
      <c r="F1954">
        <v>0</v>
      </c>
      <c r="G1954">
        <v>984.61563000000001</v>
      </c>
      <c r="I1954">
        <f t="shared" si="120"/>
        <v>0</v>
      </c>
      <c r="J1954">
        <f t="shared" si="121"/>
        <v>0</v>
      </c>
      <c r="K1954">
        <f t="shared" si="122"/>
        <v>0</v>
      </c>
      <c r="L1954">
        <f t="shared" si="123"/>
        <v>0</v>
      </c>
    </row>
    <row r="1955" spans="1:12" x14ac:dyDescent="0.35">
      <c r="A1955" s="1" t="s">
        <v>74</v>
      </c>
      <c r="B1955">
        <v>0.40000102700000001</v>
      </c>
      <c r="C1955">
        <v>5.2300999999999997E-3</v>
      </c>
      <c r="D1955">
        <v>-1.5815999999999999</v>
      </c>
      <c r="E1955">
        <v>0</v>
      </c>
      <c r="F1955">
        <v>0</v>
      </c>
      <c r="G1955">
        <v>985.10862999999995</v>
      </c>
      <c r="I1955">
        <f t="shared" si="120"/>
        <v>0.26168536331815889</v>
      </c>
      <c r="J1955">
        <f t="shared" si="121"/>
        <v>-31.653898263125576</v>
      </c>
      <c r="K1955">
        <f t="shared" si="122"/>
        <v>0</v>
      </c>
      <c r="L1955">
        <f t="shared" si="123"/>
        <v>0</v>
      </c>
    </row>
    <row r="1956" spans="1:12" x14ac:dyDescent="0.35">
      <c r="A1956" s="1" t="s">
        <v>30</v>
      </c>
      <c r="B1956">
        <v>2.44294E-2</v>
      </c>
      <c r="C1956">
        <v>1.0499000000000001E-3</v>
      </c>
      <c r="D1956">
        <v>0</v>
      </c>
      <c r="E1956">
        <v>0</v>
      </c>
      <c r="F1956">
        <v>0</v>
      </c>
      <c r="G1956">
        <v>985.20356000000004</v>
      </c>
      <c r="I1956">
        <f t="shared" si="120"/>
        <v>0.8601331402616047</v>
      </c>
      <c r="J1956">
        <f t="shared" si="121"/>
        <v>0</v>
      </c>
      <c r="K1956">
        <f t="shared" si="122"/>
        <v>0</v>
      </c>
      <c r="L1956">
        <f t="shared" si="123"/>
        <v>0</v>
      </c>
    </row>
    <row r="1957" spans="1:12" x14ac:dyDescent="0.35">
      <c r="A1957" s="1" t="s">
        <v>30</v>
      </c>
      <c r="B1957">
        <v>2.44294E-2</v>
      </c>
      <c r="C1957">
        <v>1.0499000000000001E-3</v>
      </c>
      <c r="D1957">
        <v>0</v>
      </c>
      <c r="E1957">
        <v>0</v>
      </c>
      <c r="F1957">
        <v>0</v>
      </c>
      <c r="G1957">
        <f>985.20356+0.0244294</f>
        <v>985.22798940000007</v>
      </c>
      <c r="I1957">
        <f t="shared" si="120"/>
        <v>0.8601331402616047</v>
      </c>
      <c r="J1957">
        <f t="shared" si="121"/>
        <v>0</v>
      </c>
      <c r="K1957">
        <f t="shared" si="122"/>
        <v>0</v>
      </c>
      <c r="L1957">
        <f t="shared" si="123"/>
        <v>0</v>
      </c>
    </row>
    <row r="1958" spans="1:12" x14ac:dyDescent="0.35">
      <c r="A1958" s="1" t="s">
        <v>75</v>
      </c>
      <c r="B1958">
        <v>0.40000102700000001</v>
      </c>
      <c r="C1958">
        <v>5.2300999999999997E-3</v>
      </c>
      <c r="D1958">
        <v>-1.5815999999999999</v>
      </c>
      <c r="E1958">
        <v>0</v>
      </c>
      <c r="F1958">
        <v>0</v>
      </c>
      <c r="G1958">
        <v>985.69848999999999</v>
      </c>
      <c r="I1958">
        <f t="shared" si="120"/>
        <v>0.26168536331815889</v>
      </c>
      <c r="J1958">
        <f t="shared" si="121"/>
        <v>-31.653898263125576</v>
      </c>
      <c r="K1958">
        <f t="shared" si="122"/>
        <v>0</v>
      </c>
      <c r="L1958">
        <f t="shared" si="123"/>
        <v>0</v>
      </c>
    </row>
    <row r="1959" spans="1:12" x14ac:dyDescent="0.35">
      <c r="A1959" s="1" t="s">
        <v>76</v>
      </c>
      <c r="B1959">
        <v>0.4975</v>
      </c>
      <c r="C1959">
        <v>0</v>
      </c>
      <c r="D1959">
        <v>4.61414189</v>
      </c>
      <c r="E1959">
        <v>0</v>
      </c>
      <c r="F1959">
        <v>0</v>
      </c>
      <c r="G1959">
        <v>986.46006</v>
      </c>
      <c r="I1959">
        <f t="shared" si="120"/>
        <v>0</v>
      </c>
      <c r="J1959">
        <f t="shared" si="121"/>
        <v>92.346723544313335</v>
      </c>
      <c r="K1959">
        <f t="shared" si="122"/>
        <v>0</v>
      </c>
      <c r="L1959">
        <f t="shared" si="123"/>
        <v>0</v>
      </c>
    </row>
    <row r="1960" spans="1:12" x14ac:dyDescent="0.35">
      <c r="A1960" s="1" t="s">
        <v>77</v>
      </c>
      <c r="B1960">
        <v>1.0280365199999999</v>
      </c>
      <c r="C1960">
        <v>2.4767999999999998E-2</v>
      </c>
      <c r="D1960">
        <v>-1.929</v>
      </c>
      <c r="E1960">
        <v>0</v>
      </c>
      <c r="F1960">
        <v>0</v>
      </c>
      <c r="G1960">
        <v>987.57809999999995</v>
      </c>
      <c r="I1960">
        <f t="shared" si="120"/>
        <v>0.48218416286837618</v>
      </c>
      <c r="J1960">
        <f t="shared" si="121"/>
        <v>-38.606708238220314</v>
      </c>
      <c r="K1960">
        <f t="shared" si="122"/>
        <v>0</v>
      </c>
      <c r="L1960">
        <f t="shared" si="123"/>
        <v>0</v>
      </c>
    </row>
    <row r="1961" spans="1:12" x14ac:dyDescent="0.35">
      <c r="A1961" s="1" t="s">
        <v>78</v>
      </c>
      <c r="B1961">
        <v>0.3745</v>
      </c>
      <c r="C1961">
        <v>0</v>
      </c>
      <c r="D1961">
        <v>4.5116622</v>
      </c>
      <c r="E1961">
        <v>0</v>
      </c>
      <c r="F1961">
        <v>0</v>
      </c>
      <c r="G1961">
        <v>988.04259999999999</v>
      </c>
      <c r="I1961">
        <f t="shared" si="120"/>
        <v>0</v>
      </c>
      <c r="J1961">
        <f t="shared" si="121"/>
        <v>90.29571084748946</v>
      </c>
      <c r="K1961">
        <f t="shared" si="122"/>
        <v>0</v>
      </c>
      <c r="L1961">
        <f t="shared" si="123"/>
        <v>0</v>
      </c>
    </row>
    <row r="1962" spans="1:12" x14ac:dyDescent="0.35">
      <c r="A1962" s="1" t="s">
        <v>35</v>
      </c>
      <c r="B1962">
        <v>0.41782941899999998</v>
      </c>
      <c r="C1962">
        <v>7.6290999999999998E-3</v>
      </c>
      <c r="D1962">
        <v>0</v>
      </c>
      <c r="E1962">
        <v>0</v>
      </c>
      <c r="F1962">
        <v>0</v>
      </c>
      <c r="G1962">
        <v>988.61041999999998</v>
      </c>
      <c r="I1962">
        <f t="shared" si="120"/>
        <v>0.36543053893202671</v>
      </c>
      <c r="J1962">
        <f t="shared" si="121"/>
        <v>0</v>
      </c>
      <c r="K1962">
        <f t="shared" si="122"/>
        <v>0</v>
      </c>
      <c r="L1962">
        <f t="shared" si="123"/>
        <v>0</v>
      </c>
    </row>
    <row r="1963" spans="1:12" x14ac:dyDescent="0.35">
      <c r="A1963" s="1" t="s">
        <v>36</v>
      </c>
      <c r="B1963">
        <v>0.41782864199999997</v>
      </c>
      <c r="C1963">
        <v>5.4992000000000001E-3</v>
      </c>
      <c r="D1963">
        <v>0</v>
      </c>
      <c r="E1963">
        <v>0</v>
      </c>
      <c r="F1963">
        <v>0</v>
      </c>
      <c r="G1963">
        <v>989.02824999999996</v>
      </c>
      <c r="I1963">
        <f t="shared" si="120"/>
        <v>0.26340975432619773</v>
      </c>
      <c r="J1963">
        <f t="shared" si="121"/>
        <v>0</v>
      </c>
      <c r="K1963">
        <f t="shared" si="122"/>
        <v>0</v>
      </c>
      <c r="L1963">
        <f t="shared" si="123"/>
        <v>0</v>
      </c>
    </row>
    <row r="1964" spans="1:12" x14ac:dyDescent="0.35">
      <c r="A1964" s="1" t="s">
        <v>37</v>
      </c>
      <c r="B1964">
        <v>0.41782827500000003</v>
      </c>
      <c r="C1964">
        <v>4.1392E-3</v>
      </c>
      <c r="D1964">
        <v>0</v>
      </c>
      <c r="E1964">
        <v>0</v>
      </c>
      <c r="F1964">
        <v>0</v>
      </c>
      <c r="G1964">
        <v>989.44608000000005</v>
      </c>
      <c r="I1964">
        <f t="shared" si="120"/>
        <v>0.19826640470947862</v>
      </c>
      <c r="J1964">
        <f t="shared" si="121"/>
        <v>0</v>
      </c>
      <c r="K1964">
        <f t="shared" si="122"/>
        <v>0</v>
      </c>
      <c r="L1964">
        <f t="shared" si="123"/>
        <v>0</v>
      </c>
    </row>
    <row r="1965" spans="1:12" x14ac:dyDescent="0.35">
      <c r="A1965" s="1" t="s">
        <v>38</v>
      </c>
      <c r="B1965">
        <v>0.41782808399999999</v>
      </c>
      <c r="C1965">
        <v>3.2192000000000002E-3</v>
      </c>
      <c r="D1965">
        <v>0</v>
      </c>
      <c r="E1965">
        <v>0</v>
      </c>
      <c r="F1965">
        <v>0</v>
      </c>
      <c r="G1965">
        <v>989.86391000000003</v>
      </c>
      <c r="I1965">
        <f t="shared" si="120"/>
        <v>0.15419875865034546</v>
      </c>
      <c r="J1965">
        <f t="shared" si="121"/>
        <v>0</v>
      </c>
      <c r="K1965">
        <f t="shared" si="122"/>
        <v>0</v>
      </c>
      <c r="L1965">
        <f t="shared" si="123"/>
        <v>0</v>
      </c>
    </row>
    <row r="1966" spans="1:12" x14ac:dyDescent="0.35">
      <c r="A1966" s="1" t="s">
        <v>39</v>
      </c>
      <c r="B1966">
        <v>0.41782794400000001</v>
      </c>
      <c r="C1966">
        <v>2.3392E-3</v>
      </c>
      <c r="D1966">
        <v>0</v>
      </c>
      <c r="E1966">
        <v>0</v>
      </c>
      <c r="F1966">
        <v>0</v>
      </c>
      <c r="G1966">
        <v>990.28174000000001</v>
      </c>
      <c r="I1966">
        <f t="shared" si="120"/>
        <v>0.11204704805350077</v>
      </c>
      <c r="J1966">
        <f t="shared" si="121"/>
        <v>0</v>
      </c>
      <c r="K1966">
        <f t="shared" si="122"/>
        <v>0</v>
      </c>
      <c r="L1966">
        <f t="shared" si="123"/>
        <v>0</v>
      </c>
    </row>
    <row r="1967" spans="1:12" x14ac:dyDescent="0.35">
      <c r="A1967" s="1" t="s">
        <v>79</v>
      </c>
      <c r="B1967">
        <v>0.21199999999999999</v>
      </c>
      <c r="C1967">
        <v>0</v>
      </c>
      <c r="D1967">
        <v>-2.53358734</v>
      </c>
      <c r="E1967">
        <v>0</v>
      </c>
      <c r="F1967">
        <v>0</v>
      </c>
      <c r="G1967">
        <v>990.54074000000003</v>
      </c>
      <c r="I1967">
        <f t="shared" si="120"/>
        <v>0</v>
      </c>
      <c r="J1967">
        <f t="shared" si="121"/>
        <v>-50.706825936458621</v>
      </c>
      <c r="K1967">
        <f t="shared" si="122"/>
        <v>0</v>
      </c>
      <c r="L1967">
        <f t="shared" si="123"/>
        <v>0</v>
      </c>
    </row>
    <row r="1968" spans="1:12" x14ac:dyDescent="0.35">
      <c r="A1968" s="1" t="s">
        <v>80</v>
      </c>
      <c r="B1968">
        <v>0.16600000000000001</v>
      </c>
      <c r="C1968">
        <v>0</v>
      </c>
      <c r="D1968">
        <v>0</v>
      </c>
      <c r="E1968">
        <v>-202.23429300000001</v>
      </c>
      <c r="F1968">
        <v>0</v>
      </c>
      <c r="G1968">
        <v>990.78174000000001</v>
      </c>
      <c r="I1968">
        <f t="shared" si="120"/>
        <v>0</v>
      </c>
      <c r="J1968">
        <f t="shared" si="121"/>
        <v>0</v>
      </c>
      <c r="K1968">
        <f t="shared" si="122"/>
        <v>-4047.4859230760812</v>
      </c>
      <c r="L1968">
        <f t="shared" si="123"/>
        <v>0</v>
      </c>
    </row>
    <row r="1969" spans="1:12" x14ac:dyDescent="0.35">
      <c r="A1969" s="1" t="s">
        <v>81</v>
      </c>
      <c r="B1969">
        <v>0.09</v>
      </c>
      <c r="C1969">
        <v>0</v>
      </c>
      <c r="D1969">
        <v>0</v>
      </c>
      <c r="E1969">
        <v>0</v>
      </c>
      <c r="F1969">
        <v>-13632</v>
      </c>
      <c r="G1969">
        <v>991.32258999999999</v>
      </c>
      <c r="I1969">
        <f t="shared" si="120"/>
        <v>0</v>
      </c>
      <c r="J1969">
        <f t="shared" si="121"/>
        <v>0</v>
      </c>
      <c r="K1969">
        <f t="shared" si="122"/>
        <v>0</v>
      </c>
      <c r="L1969">
        <f t="shared" si="123"/>
        <v>-272828.74375501258</v>
      </c>
    </row>
    <row r="1970" spans="1:12" x14ac:dyDescent="0.35">
      <c r="A1970" s="1" t="s">
        <v>82</v>
      </c>
      <c r="B1970">
        <v>0.21199999999999999</v>
      </c>
      <c r="C1970">
        <v>0</v>
      </c>
      <c r="D1970">
        <v>2.47240752</v>
      </c>
      <c r="E1970">
        <v>0</v>
      </c>
      <c r="F1970">
        <v>0</v>
      </c>
      <c r="G1970">
        <v>991.59459000000004</v>
      </c>
      <c r="I1970">
        <f t="shared" si="120"/>
        <v>0</v>
      </c>
      <c r="J1970">
        <f t="shared" si="121"/>
        <v>49.48238246273813</v>
      </c>
      <c r="K1970">
        <f t="shared" si="122"/>
        <v>0</v>
      </c>
      <c r="L1970">
        <f t="shared" si="123"/>
        <v>0</v>
      </c>
    </row>
    <row r="1971" spans="1:12" x14ac:dyDescent="0.35">
      <c r="A1971" s="1" t="s">
        <v>83</v>
      </c>
      <c r="B1971">
        <v>0.1</v>
      </c>
      <c r="C1971">
        <v>0</v>
      </c>
      <c r="D1971">
        <v>0</v>
      </c>
      <c r="E1971">
        <v>172.62799999999999</v>
      </c>
      <c r="F1971">
        <v>0</v>
      </c>
      <c r="G1971">
        <v>991.76958999999999</v>
      </c>
      <c r="I1971">
        <f t="shared" si="120"/>
        <v>0</v>
      </c>
      <c r="J1971">
        <f t="shared" si="121"/>
        <v>0</v>
      </c>
      <c r="K1971">
        <f t="shared" si="122"/>
        <v>3454.9501450220296</v>
      </c>
      <c r="L1971">
        <f t="shared" si="123"/>
        <v>0</v>
      </c>
    </row>
    <row r="1972" spans="1:12" x14ac:dyDescent="0.35">
      <c r="A1972" s="1" t="s">
        <v>83</v>
      </c>
      <c r="B1972">
        <v>0.1</v>
      </c>
      <c r="C1972">
        <v>0</v>
      </c>
      <c r="D1972">
        <v>0</v>
      </c>
      <c r="E1972">
        <v>172.62799999999999</v>
      </c>
      <c r="F1972">
        <v>0</v>
      </c>
      <c r="G1972">
        <f>0.1+991.76959</f>
        <v>991.86959000000002</v>
      </c>
      <c r="I1972">
        <f t="shared" si="120"/>
        <v>0</v>
      </c>
      <c r="J1972">
        <f t="shared" si="121"/>
        <v>0</v>
      </c>
      <c r="K1972">
        <f t="shared" si="122"/>
        <v>3454.9501450220296</v>
      </c>
      <c r="L1972">
        <f t="shared" si="123"/>
        <v>0</v>
      </c>
    </row>
    <row r="1973" spans="1:12" x14ac:dyDescent="0.35">
      <c r="A1973" s="1" t="s">
        <v>84</v>
      </c>
      <c r="B1973">
        <v>0.21199999999999999</v>
      </c>
      <c r="C1973">
        <v>0</v>
      </c>
      <c r="D1973">
        <v>2.47240752</v>
      </c>
      <c r="E1973">
        <v>0</v>
      </c>
      <c r="F1973">
        <v>0</v>
      </c>
      <c r="G1973">
        <v>992.15659000000005</v>
      </c>
      <c r="I1973">
        <f t="shared" si="120"/>
        <v>0</v>
      </c>
      <c r="J1973">
        <f t="shared" si="121"/>
        <v>49.48238246273813</v>
      </c>
      <c r="K1973">
        <f t="shared" si="122"/>
        <v>0</v>
      </c>
      <c r="L1973">
        <f t="shared" si="123"/>
        <v>0</v>
      </c>
    </row>
    <row r="1974" spans="1:12" x14ac:dyDescent="0.35">
      <c r="A1974" s="1" t="s">
        <v>85</v>
      </c>
      <c r="B1974">
        <v>0.16600000000000001</v>
      </c>
      <c r="C1974">
        <v>0</v>
      </c>
      <c r="D1974">
        <v>0</v>
      </c>
      <c r="E1974">
        <v>-132.861086</v>
      </c>
      <c r="F1974">
        <v>0</v>
      </c>
      <c r="G1974">
        <v>992.92344000000003</v>
      </c>
      <c r="I1974">
        <f t="shared" si="120"/>
        <v>0</v>
      </c>
      <c r="J1974">
        <f t="shared" si="121"/>
        <v>0</v>
      </c>
      <c r="K1974">
        <f t="shared" si="122"/>
        <v>-2659.0612666744933</v>
      </c>
      <c r="L1974">
        <f t="shared" si="123"/>
        <v>0</v>
      </c>
    </row>
    <row r="1975" spans="1:12" x14ac:dyDescent="0.35">
      <c r="A1975" s="1" t="s">
        <v>86</v>
      </c>
      <c r="B1975">
        <v>0.21199999999999999</v>
      </c>
      <c r="C1975">
        <v>0</v>
      </c>
      <c r="D1975">
        <v>-2.3709669899999999</v>
      </c>
      <c r="E1975">
        <v>0</v>
      </c>
      <c r="F1975">
        <v>0</v>
      </c>
      <c r="G1975">
        <v>993.21043999999995</v>
      </c>
      <c r="I1975">
        <f t="shared" si="120"/>
        <v>0</v>
      </c>
      <c r="J1975">
        <f t="shared" si="121"/>
        <v>-47.452167353748784</v>
      </c>
      <c r="K1975">
        <f t="shared" si="122"/>
        <v>0</v>
      </c>
      <c r="L1975">
        <f t="shared" si="123"/>
        <v>0</v>
      </c>
    </row>
    <row r="1976" spans="1:12" x14ac:dyDescent="0.35">
      <c r="A1976" s="1" t="s">
        <v>48</v>
      </c>
      <c r="B1976">
        <v>0.41782794400000001</v>
      </c>
      <c r="C1976">
        <v>2.3392E-3</v>
      </c>
      <c r="D1976">
        <v>0</v>
      </c>
      <c r="E1976">
        <v>0</v>
      </c>
      <c r="F1976">
        <v>0</v>
      </c>
      <c r="G1976">
        <v>993.67526999999995</v>
      </c>
      <c r="I1976">
        <f t="shared" si="120"/>
        <v>0.11204704805350077</v>
      </c>
      <c r="J1976">
        <f t="shared" si="121"/>
        <v>0</v>
      </c>
      <c r="K1976">
        <f t="shared" si="122"/>
        <v>0</v>
      </c>
      <c r="L1976">
        <f t="shared" si="123"/>
        <v>0</v>
      </c>
    </row>
    <row r="1977" spans="1:12" x14ac:dyDescent="0.35">
      <c r="A1977" s="1" t="s">
        <v>49</v>
      </c>
      <c r="B1977">
        <v>0.41782808399999999</v>
      </c>
      <c r="C1977">
        <v>3.2192000000000002E-3</v>
      </c>
      <c r="D1977">
        <v>0</v>
      </c>
      <c r="E1977">
        <v>0</v>
      </c>
      <c r="F1977">
        <v>0</v>
      </c>
      <c r="G1977">
        <v>994.09310000000005</v>
      </c>
      <c r="I1977">
        <f t="shared" si="120"/>
        <v>0.15419875865034546</v>
      </c>
      <c r="J1977">
        <f t="shared" si="121"/>
        <v>0</v>
      </c>
      <c r="K1977">
        <f t="shared" si="122"/>
        <v>0</v>
      </c>
      <c r="L1977">
        <f t="shared" si="123"/>
        <v>0</v>
      </c>
    </row>
    <row r="1978" spans="1:12" x14ac:dyDescent="0.35">
      <c r="A1978" s="1" t="s">
        <v>50</v>
      </c>
      <c r="B1978">
        <v>0.41782827500000003</v>
      </c>
      <c r="C1978">
        <v>4.1392E-3</v>
      </c>
      <c r="D1978">
        <v>0</v>
      </c>
      <c r="E1978">
        <v>0</v>
      </c>
      <c r="F1978">
        <v>0</v>
      </c>
      <c r="G1978">
        <v>994.51093000000003</v>
      </c>
      <c r="I1978">
        <f t="shared" si="120"/>
        <v>0.19826640470947862</v>
      </c>
      <c r="J1978">
        <f t="shared" si="121"/>
        <v>0</v>
      </c>
      <c r="K1978">
        <f t="shared" si="122"/>
        <v>0</v>
      </c>
      <c r="L1978">
        <f t="shared" si="123"/>
        <v>0</v>
      </c>
    </row>
    <row r="1979" spans="1:12" x14ac:dyDescent="0.35">
      <c r="A1979" s="1" t="s">
        <v>51</v>
      </c>
      <c r="B1979">
        <v>0.41782864199999997</v>
      </c>
      <c r="C1979">
        <v>5.4992000000000001E-3</v>
      </c>
      <c r="D1979">
        <v>0</v>
      </c>
      <c r="E1979">
        <v>0</v>
      </c>
      <c r="F1979">
        <v>0</v>
      </c>
      <c r="G1979">
        <v>994.92876000000001</v>
      </c>
      <c r="I1979">
        <f t="shared" si="120"/>
        <v>0.26340975432619773</v>
      </c>
      <c r="J1979">
        <f t="shared" si="121"/>
        <v>0</v>
      </c>
      <c r="K1979">
        <f t="shared" si="122"/>
        <v>0</v>
      </c>
      <c r="L1979">
        <f t="shared" si="123"/>
        <v>0</v>
      </c>
    </row>
    <row r="1980" spans="1:12" x14ac:dyDescent="0.35">
      <c r="A1980" s="1" t="s">
        <v>52</v>
      </c>
      <c r="B1980">
        <v>0.41783028900000002</v>
      </c>
      <c r="C1980">
        <v>9.4690999999999994E-3</v>
      </c>
      <c r="D1980">
        <v>0</v>
      </c>
      <c r="E1980">
        <v>0</v>
      </c>
      <c r="F1980">
        <v>0</v>
      </c>
      <c r="G1980">
        <v>995.34658999999999</v>
      </c>
      <c r="I1980">
        <f t="shared" si="120"/>
        <v>0.45356478630764774</v>
      </c>
      <c r="J1980">
        <f t="shared" si="121"/>
        <v>0</v>
      </c>
      <c r="K1980">
        <f t="shared" si="122"/>
        <v>0</v>
      </c>
      <c r="L1980">
        <f t="shared" si="123"/>
        <v>0</v>
      </c>
    </row>
    <row r="1981" spans="1:12" x14ac:dyDescent="0.35">
      <c r="A1981" s="1" t="s">
        <v>87</v>
      </c>
      <c r="B1981">
        <v>0.16200000000000001</v>
      </c>
      <c r="C1981">
        <v>0</v>
      </c>
      <c r="D1981">
        <v>-2.8698264299999998</v>
      </c>
      <c r="E1981">
        <v>0</v>
      </c>
      <c r="F1981">
        <v>0</v>
      </c>
      <c r="G1981">
        <v>995.55559000000005</v>
      </c>
      <c r="I1981">
        <f t="shared" si="120"/>
        <v>0</v>
      </c>
      <c r="J1981">
        <f t="shared" si="121"/>
        <v>-57.436263181619168</v>
      </c>
      <c r="K1981">
        <f t="shared" si="122"/>
        <v>0</v>
      </c>
      <c r="L1981">
        <f t="shared" si="123"/>
        <v>0</v>
      </c>
    </row>
    <row r="1982" spans="1:12" x14ac:dyDescent="0.35">
      <c r="A1982" s="1" t="s">
        <v>54</v>
      </c>
      <c r="B1982">
        <v>0.1</v>
      </c>
      <c r="C1982">
        <v>0</v>
      </c>
      <c r="D1982">
        <v>0</v>
      </c>
      <c r="E1982">
        <v>0</v>
      </c>
      <c r="F1982">
        <v>0</v>
      </c>
      <c r="G1982">
        <v>995.88558999999998</v>
      </c>
      <c r="I1982">
        <f t="shared" si="120"/>
        <v>0</v>
      </c>
      <c r="J1982">
        <f t="shared" si="121"/>
        <v>0</v>
      </c>
      <c r="K1982">
        <f t="shared" si="122"/>
        <v>0</v>
      </c>
      <c r="L1982">
        <f t="shared" si="123"/>
        <v>0</v>
      </c>
    </row>
    <row r="1983" spans="1:12" x14ac:dyDescent="0.35">
      <c r="A1983" s="1" t="s">
        <v>88</v>
      </c>
      <c r="B1983">
        <v>0.29499999999999998</v>
      </c>
      <c r="C1983">
        <v>0</v>
      </c>
      <c r="D1983">
        <v>2.43875777</v>
      </c>
      <c r="E1983">
        <v>0</v>
      </c>
      <c r="F1983">
        <v>0</v>
      </c>
      <c r="G1983">
        <v>996.29058999999995</v>
      </c>
      <c r="I1983">
        <f t="shared" si="120"/>
        <v>0</v>
      </c>
      <c r="J1983">
        <f t="shared" si="121"/>
        <v>48.808921560436907</v>
      </c>
      <c r="K1983">
        <f t="shared" si="122"/>
        <v>0</v>
      </c>
      <c r="L1983">
        <f t="shared" si="123"/>
        <v>0</v>
      </c>
    </row>
    <row r="1984" spans="1:12" x14ac:dyDescent="0.35">
      <c r="A1984" s="1" t="s">
        <v>56</v>
      </c>
      <c r="B1984">
        <v>0.29499999999999998</v>
      </c>
      <c r="C1984">
        <v>0</v>
      </c>
      <c r="D1984">
        <v>2.43875777</v>
      </c>
      <c r="E1984">
        <v>0</v>
      </c>
      <c r="F1984">
        <v>0</v>
      </c>
      <c r="G1984">
        <v>1002.1636999999999</v>
      </c>
      <c r="I1984">
        <f t="shared" si="120"/>
        <v>0</v>
      </c>
      <c r="J1984">
        <f t="shared" si="121"/>
        <v>48.808921560436907</v>
      </c>
      <c r="K1984">
        <f t="shared" si="122"/>
        <v>0</v>
      </c>
      <c r="L1984">
        <f t="shared" si="123"/>
        <v>0</v>
      </c>
    </row>
    <row r="1985" spans="1:12" x14ac:dyDescent="0.35">
      <c r="A1985" s="1" t="s">
        <v>2</v>
      </c>
      <c r="B1985">
        <v>0.1</v>
      </c>
      <c r="C1985">
        <v>0</v>
      </c>
      <c r="D1985">
        <v>0</v>
      </c>
      <c r="E1985">
        <v>0</v>
      </c>
      <c r="F1985">
        <v>0</v>
      </c>
      <c r="G1985">
        <v>1002.3737</v>
      </c>
      <c r="I1985">
        <f t="shared" si="120"/>
        <v>0</v>
      </c>
      <c r="J1985">
        <f t="shared" si="121"/>
        <v>0</v>
      </c>
      <c r="K1985">
        <f t="shared" si="122"/>
        <v>0</v>
      </c>
      <c r="L1985">
        <f t="shared" si="123"/>
        <v>0</v>
      </c>
    </row>
    <row r="1986" spans="1:12" x14ac:dyDescent="0.35">
      <c r="A1986" s="1" t="s">
        <v>57</v>
      </c>
      <c r="B1986">
        <v>0.16200000000000001</v>
      </c>
      <c r="C1986">
        <v>0</v>
      </c>
      <c r="D1986">
        <v>-2.8698264299999998</v>
      </c>
      <c r="E1986">
        <v>0</v>
      </c>
      <c r="F1986">
        <v>0</v>
      </c>
      <c r="G1986">
        <v>1002.7657</v>
      </c>
      <c r="I1986">
        <f t="shared" si="120"/>
        <v>0</v>
      </c>
      <c r="J1986">
        <f t="shared" si="121"/>
        <v>-57.436263181619168</v>
      </c>
      <c r="K1986">
        <f t="shared" si="122"/>
        <v>0</v>
      </c>
      <c r="L1986">
        <f t="shared" si="123"/>
        <v>0</v>
      </c>
    </row>
    <row r="1987" spans="1:12" x14ac:dyDescent="0.35">
      <c r="A1987" s="1" t="s">
        <v>58</v>
      </c>
      <c r="B1987">
        <v>0.41783028900000002</v>
      </c>
      <c r="C1987">
        <v>9.4690999999999994E-3</v>
      </c>
      <c r="D1987">
        <v>0</v>
      </c>
      <c r="E1987">
        <v>0</v>
      </c>
      <c r="F1987">
        <v>0</v>
      </c>
      <c r="G1987">
        <v>1003.2306</v>
      </c>
      <c r="I1987">
        <f t="shared" si="120"/>
        <v>0.45356478630764774</v>
      </c>
      <c r="J1987">
        <f t="shared" si="121"/>
        <v>0</v>
      </c>
      <c r="K1987">
        <f t="shared" si="122"/>
        <v>0</v>
      </c>
      <c r="L1987">
        <f t="shared" si="123"/>
        <v>0</v>
      </c>
    </row>
    <row r="1988" spans="1:12" x14ac:dyDescent="0.35">
      <c r="A1988" s="1" t="s">
        <v>59</v>
      </c>
      <c r="B1988">
        <v>0.41782864199999997</v>
      </c>
      <c r="C1988">
        <v>5.4992000000000001E-3</v>
      </c>
      <c r="D1988">
        <v>0</v>
      </c>
      <c r="E1988">
        <v>0</v>
      </c>
      <c r="F1988">
        <v>0</v>
      </c>
      <c r="G1988">
        <v>1003.6484</v>
      </c>
      <c r="I1988">
        <f t="shared" ref="I1988:I2051" si="124">$H$2*$C1988/$B1988</f>
        <v>0.26340975432619773</v>
      </c>
      <c r="J1988">
        <f t="shared" ref="J1988:J2051" si="125">$H$2*$D1988</f>
        <v>0</v>
      </c>
      <c r="K1988">
        <f t="shared" ref="K1988:K2051" si="126">$H$2*$E1988</f>
        <v>0</v>
      </c>
      <c r="L1988">
        <f t="shared" ref="L1988:L2051" si="127">$H$2*$F1988</f>
        <v>0</v>
      </c>
    </row>
    <row r="1989" spans="1:12" x14ac:dyDescent="0.35">
      <c r="A1989" s="1" t="s">
        <v>60</v>
      </c>
      <c r="B1989">
        <v>0.41782827500000003</v>
      </c>
      <c r="C1989">
        <v>4.1392E-3</v>
      </c>
      <c r="D1989">
        <v>0</v>
      </c>
      <c r="E1989">
        <v>0</v>
      </c>
      <c r="F1989">
        <v>0</v>
      </c>
      <c r="G1989">
        <v>1004.0662</v>
      </c>
      <c r="I1989">
        <f t="shared" si="124"/>
        <v>0.19826640470947862</v>
      </c>
      <c r="J1989">
        <f t="shared" si="125"/>
        <v>0</v>
      </c>
      <c r="K1989">
        <f t="shared" si="126"/>
        <v>0</v>
      </c>
      <c r="L1989">
        <f t="shared" si="127"/>
        <v>0</v>
      </c>
    </row>
    <row r="1990" spans="1:12" x14ac:dyDescent="0.35">
      <c r="A1990" s="1" t="s">
        <v>61</v>
      </c>
      <c r="B1990">
        <v>0.41782808399999999</v>
      </c>
      <c r="C1990">
        <v>3.2192000000000002E-3</v>
      </c>
      <c r="D1990">
        <v>0</v>
      </c>
      <c r="E1990">
        <v>0</v>
      </c>
      <c r="F1990">
        <v>0</v>
      </c>
      <c r="G1990">
        <v>1004.4841</v>
      </c>
      <c r="I1990">
        <f t="shared" si="124"/>
        <v>0.15419875865034546</v>
      </c>
      <c r="J1990">
        <f t="shared" si="125"/>
        <v>0</v>
      </c>
      <c r="K1990">
        <f t="shared" si="126"/>
        <v>0</v>
      </c>
      <c r="L1990">
        <f t="shared" si="127"/>
        <v>0</v>
      </c>
    </row>
    <row r="1991" spans="1:12" x14ac:dyDescent="0.35">
      <c r="A1991" s="1" t="s">
        <v>62</v>
      </c>
      <c r="B1991">
        <v>0.41782794400000001</v>
      </c>
      <c r="C1991">
        <v>2.3392E-3</v>
      </c>
      <c r="D1991">
        <v>0</v>
      </c>
      <c r="E1991">
        <v>0</v>
      </c>
      <c r="F1991">
        <v>0</v>
      </c>
      <c r="G1991">
        <v>1004.9019</v>
      </c>
      <c r="I1991">
        <f t="shared" si="124"/>
        <v>0.11204704805350077</v>
      </c>
      <c r="J1991">
        <f t="shared" si="125"/>
        <v>0</v>
      </c>
      <c r="K1991">
        <f t="shared" si="126"/>
        <v>0</v>
      </c>
      <c r="L1991">
        <f t="shared" si="127"/>
        <v>0</v>
      </c>
    </row>
    <row r="1992" spans="1:12" x14ac:dyDescent="0.35">
      <c r="A1992" s="1" t="s">
        <v>63</v>
      </c>
      <c r="B1992">
        <v>0.21199999999999999</v>
      </c>
      <c r="C1992">
        <v>0</v>
      </c>
      <c r="D1992">
        <v>-2.3709669899999999</v>
      </c>
      <c r="E1992">
        <v>0</v>
      </c>
      <c r="F1992">
        <v>0</v>
      </c>
      <c r="G1992">
        <v>1005.1609</v>
      </c>
      <c r="I1992">
        <f t="shared" si="124"/>
        <v>0</v>
      </c>
      <c r="J1992">
        <f t="shared" si="125"/>
        <v>-47.452167353748784</v>
      </c>
      <c r="K1992">
        <f t="shared" si="126"/>
        <v>0</v>
      </c>
      <c r="L1992">
        <f t="shared" si="127"/>
        <v>0</v>
      </c>
    </row>
    <row r="1993" spans="1:12" x14ac:dyDescent="0.35">
      <c r="A1993" s="1" t="s">
        <v>64</v>
      </c>
      <c r="B1993">
        <v>0.16600000000000001</v>
      </c>
      <c r="C1993">
        <v>0</v>
      </c>
      <c r="D1993">
        <v>0</v>
      </c>
      <c r="E1993">
        <v>-132.861086</v>
      </c>
      <c r="F1993">
        <v>0</v>
      </c>
      <c r="G1993">
        <v>1005.4019</v>
      </c>
      <c r="I1993">
        <f t="shared" si="124"/>
        <v>0</v>
      </c>
      <c r="J1993">
        <f t="shared" si="125"/>
        <v>0</v>
      </c>
      <c r="K1993">
        <f t="shared" si="126"/>
        <v>-2659.0612666744933</v>
      </c>
      <c r="L1993">
        <f t="shared" si="127"/>
        <v>0</v>
      </c>
    </row>
    <row r="1994" spans="1:12" x14ac:dyDescent="0.35">
      <c r="A1994" s="1" t="s">
        <v>65</v>
      </c>
      <c r="B1994">
        <v>0.21199999999999999</v>
      </c>
      <c r="C1994">
        <v>0</v>
      </c>
      <c r="D1994">
        <v>2.47240752</v>
      </c>
      <c r="E1994">
        <v>0</v>
      </c>
      <c r="F1994">
        <v>0</v>
      </c>
      <c r="G1994">
        <v>1006.2147</v>
      </c>
      <c r="I1994">
        <f t="shared" si="124"/>
        <v>0</v>
      </c>
      <c r="J1994">
        <f t="shared" si="125"/>
        <v>49.48238246273813</v>
      </c>
      <c r="K1994">
        <f t="shared" si="126"/>
        <v>0</v>
      </c>
      <c r="L1994">
        <f t="shared" si="127"/>
        <v>0</v>
      </c>
    </row>
    <row r="1995" spans="1:12" x14ac:dyDescent="0.35">
      <c r="A1995" s="1" t="s">
        <v>66</v>
      </c>
      <c r="B1995">
        <v>0.1</v>
      </c>
      <c r="C1995">
        <v>0</v>
      </c>
      <c r="D1995">
        <v>0</v>
      </c>
      <c r="E1995">
        <v>172.62799999999999</v>
      </c>
      <c r="F1995">
        <v>0</v>
      </c>
      <c r="G1995">
        <v>1006.3896999999999</v>
      </c>
      <c r="I1995">
        <f t="shared" si="124"/>
        <v>0</v>
      </c>
      <c r="J1995">
        <f t="shared" si="125"/>
        <v>0</v>
      </c>
      <c r="K1995">
        <f t="shared" si="126"/>
        <v>3454.9501450220296</v>
      </c>
      <c r="L1995">
        <f t="shared" si="127"/>
        <v>0</v>
      </c>
    </row>
    <row r="1996" spans="1:12" x14ac:dyDescent="0.35">
      <c r="A1996" s="1" t="s">
        <v>66</v>
      </c>
      <c r="B1996">
        <v>0.1</v>
      </c>
      <c r="C1996">
        <v>0</v>
      </c>
      <c r="D1996">
        <v>0</v>
      </c>
      <c r="E1996">
        <v>172.62799999999999</v>
      </c>
      <c r="F1996">
        <v>0</v>
      </c>
      <c r="G1996">
        <f>0.1+1006.3897</f>
        <v>1006.4897</v>
      </c>
      <c r="I1996">
        <f t="shared" si="124"/>
        <v>0</v>
      </c>
      <c r="J1996">
        <f t="shared" si="125"/>
        <v>0</v>
      </c>
      <c r="K1996">
        <f t="shared" si="126"/>
        <v>3454.9501450220296</v>
      </c>
      <c r="L1996">
        <f t="shared" si="127"/>
        <v>0</v>
      </c>
    </row>
    <row r="1997" spans="1:12" x14ac:dyDescent="0.35">
      <c r="A1997" s="1" t="s">
        <v>67</v>
      </c>
      <c r="B1997">
        <v>0.21199999999999999</v>
      </c>
      <c r="C1997">
        <v>0</v>
      </c>
      <c r="D1997">
        <v>2.47240752</v>
      </c>
      <c r="E1997">
        <v>0</v>
      </c>
      <c r="F1997">
        <v>0</v>
      </c>
      <c r="G1997">
        <v>1006.7767</v>
      </c>
      <c r="I1997">
        <f t="shared" si="124"/>
        <v>0</v>
      </c>
      <c r="J1997">
        <f t="shared" si="125"/>
        <v>49.48238246273813</v>
      </c>
      <c r="K1997">
        <f t="shared" si="126"/>
        <v>0</v>
      </c>
      <c r="L1997">
        <f t="shared" si="127"/>
        <v>0</v>
      </c>
    </row>
    <row r="1998" spans="1:12" x14ac:dyDescent="0.35">
      <c r="A1998" s="1" t="s">
        <v>68</v>
      </c>
      <c r="B1998">
        <v>0.09</v>
      </c>
      <c r="C1998">
        <v>0</v>
      </c>
      <c r="D1998">
        <v>0</v>
      </c>
      <c r="E1998">
        <v>0</v>
      </c>
      <c r="F1998">
        <v>-13632</v>
      </c>
      <c r="G1998">
        <v>1006.9267</v>
      </c>
      <c r="I1998">
        <f t="shared" si="124"/>
        <v>0</v>
      </c>
      <c r="J1998">
        <f t="shared" si="125"/>
        <v>0</v>
      </c>
      <c r="K1998">
        <f t="shared" si="126"/>
        <v>0</v>
      </c>
      <c r="L1998">
        <f t="shared" si="127"/>
        <v>-272828.74375501258</v>
      </c>
    </row>
    <row r="1999" spans="1:12" x14ac:dyDescent="0.35">
      <c r="A1999" s="1" t="s">
        <v>69</v>
      </c>
      <c r="B1999">
        <v>0.16600000000000001</v>
      </c>
      <c r="C1999">
        <v>0</v>
      </c>
      <c r="D1999">
        <v>0</v>
      </c>
      <c r="E1999">
        <v>-202.23429300000001</v>
      </c>
      <c r="F1999">
        <v>0</v>
      </c>
      <c r="G1999">
        <v>1007.5436</v>
      </c>
      <c r="I1999">
        <f t="shared" si="124"/>
        <v>0</v>
      </c>
      <c r="J1999">
        <f t="shared" si="125"/>
        <v>0</v>
      </c>
      <c r="K1999">
        <f t="shared" si="126"/>
        <v>-4047.4859230760812</v>
      </c>
      <c r="L1999">
        <f t="shared" si="127"/>
        <v>0</v>
      </c>
    </row>
    <row r="2000" spans="1:12" x14ac:dyDescent="0.35">
      <c r="A2000" s="1" t="s">
        <v>70</v>
      </c>
      <c r="B2000">
        <v>0.21199999999999999</v>
      </c>
      <c r="C2000">
        <v>0</v>
      </c>
      <c r="D2000">
        <v>-2.53358734</v>
      </c>
      <c r="E2000">
        <v>0</v>
      </c>
      <c r="F2000">
        <v>0</v>
      </c>
      <c r="G2000">
        <v>1007.8306</v>
      </c>
      <c r="I2000">
        <f t="shared" si="124"/>
        <v>0</v>
      </c>
      <c r="J2000">
        <f t="shared" si="125"/>
        <v>-50.706825936458621</v>
      </c>
      <c r="K2000">
        <f t="shared" si="126"/>
        <v>0</v>
      </c>
      <c r="L2000">
        <f t="shared" si="127"/>
        <v>0</v>
      </c>
    </row>
    <row r="2001" spans="1:12" x14ac:dyDescent="0.35">
      <c r="A2001" s="1" t="s">
        <v>20</v>
      </c>
      <c r="B2001">
        <v>0.41782794400000001</v>
      </c>
      <c r="C2001">
        <v>2.3392E-3</v>
      </c>
      <c r="D2001">
        <v>0</v>
      </c>
      <c r="E2001">
        <v>0</v>
      </c>
      <c r="F2001">
        <v>0</v>
      </c>
      <c r="G2001">
        <v>1008.2954</v>
      </c>
      <c r="I2001">
        <f t="shared" si="124"/>
        <v>0.11204704805350077</v>
      </c>
      <c r="J2001">
        <f t="shared" si="125"/>
        <v>0</v>
      </c>
      <c r="K2001">
        <f t="shared" si="126"/>
        <v>0</v>
      </c>
      <c r="L2001">
        <f t="shared" si="127"/>
        <v>0</v>
      </c>
    </row>
    <row r="2002" spans="1:12" x14ac:dyDescent="0.35">
      <c r="A2002" s="1" t="s">
        <v>21</v>
      </c>
      <c r="B2002">
        <v>0.41782808399999999</v>
      </c>
      <c r="C2002">
        <v>3.2192000000000002E-3</v>
      </c>
      <c r="D2002">
        <v>0</v>
      </c>
      <c r="E2002">
        <v>0</v>
      </c>
      <c r="F2002">
        <v>0</v>
      </c>
      <c r="G2002">
        <v>1008.7132</v>
      </c>
      <c r="I2002">
        <f t="shared" si="124"/>
        <v>0.15419875865034546</v>
      </c>
      <c r="J2002">
        <f t="shared" si="125"/>
        <v>0</v>
      </c>
      <c r="K2002">
        <f t="shared" si="126"/>
        <v>0</v>
      </c>
      <c r="L2002">
        <f t="shared" si="127"/>
        <v>0</v>
      </c>
    </row>
    <row r="2003" spans="1:12" x14ac:dyDescent="0.35">
      <c r="A2003" s="1" t="s">
        <v>22</v>
      </c>
      <c r="B2003">
        <v>0.41782827500000003</v>
      </c>
      <c r="C2003">
        <v>4.1392E-3</v>
      </c>
      <c r="D2003">
        <v>0</v>
      </c>
      <c r="E2003">
        <v>0</v>
      </c>
      <c r="F2003">
        <v>0</v>
      </c>
      <c r="G2003">
        <v>1009.1310999999999</v>
      </c>
      <c r="I2003">
        <f t="shared" si="124"/>
        <v>0.19826640470947862</v>
      </c>
      <c r="J2003">
        <f t="shared" si="125"/>
        <v>0</v>
      </c>
      <c r="K2003">
        <f t="shared" si="126"/>
        <v>0</v>
      </c>
      <c r="L2003">
        <f t="shared" si="127"/>
        <v>0</v>
      </c>
    </row>
    <row r="2004" spans="1:12" x14ac:dyDescent="0.35">
      <c r="A2004" s="1" t="s">
        <v>23</v>
      </c>
      <c r="B2004">
        <v>0.41782864199999997</v>
      </c>
      <c r="C2004">
        <v>5.4992000000000001E-3</v>
      </c>
      <c r="D2004">
        <v>0</v>
      </c>
      <c r="E2004">
        <v>0</v>
      </c>
      <c r="F2004">
        <v>0</v>
      </c>
      <c r="G2004">
        <v>1009.5489</v>
      </c>
      <c r="I2004">
        <f t="shared" si="124"/>
        <v>0.26340975432619773</v>
      </c>
      <c r="J2004">
        <f t="shared" si="125"/>
        <v>0</v>
      </c>
      <c r="K2004">
        <f t="shared" si="126"/>
        <v>0</v>
      </c>
      <c r="L2004">
        <f t="shared" si="127"/>
        <v>0</v>
      </c>
    </row>
    <row r="2005" spans="1:12" x14ac:dyDescent="0.35">
      <c r="A2005" s="1" t="s">
        <v>24</v>
      </c>
      <c r="B2005">
        <v>0.41782941899999998</v>
      </c>
      <c r="C2005">
        <v>7.6290999999999998E-3</v>
      </c>
      <c r="D2005">
        <v>0</v>
      </c>
      <c r="E2005">
        <v>0</v>
      </c>
      <c r="F2005">
        <v>0</v>
      </c>
      <c r="G2005">
        <v>1009.9666999999999</v>
      </c>
      <c r="I2005">
        <f t="shared" si="124"/>
        <v>0.36543053893202671</v>
      </c>
      <c r="J2005">
        <f t="shared" si="125"/>
        <v>0</v>
      </c>
      <c r="K2005">
        <f t="shared" si="126"/>
        <v>0</v>
      </c>
      <c r="L2005">
        <f t="shared" si="127"/>
        <v>0</v>
      </c>
    </row>
    <row r="2006" spans="1:12" x14ac:dyDescent="0.35">
      <c r="A2006" s="1" t="s">
        <v>71</v>
      </c>
      <c r="B2006">
        <v>0.3745</v>
      </c>
      <c r="C2006">
        <v>0</v>
      </c>
      <c r="D2006">
        <v>4.5116622</v>
      </c>
      <c r="E2006">
        <v>0</v>
      </c>
      <c r="F2006">
        <v>0</v>
      </c>
      <c r="G2006">
        <v>1010.4912</v>
      </c>
      <c r="I2006">
        <f t="shared" si="124"/>
        <v>0</v>
      </c>
      <c r="J2006">
        <f t="shared" si="125"/>
        <v>90.29571084748946</v>
      </c>
      <c r="K2006">
        <f t="shared" si="126"/>
        <v>0</v>
      </c>
      <c r="L2006">
        <f t="shared" si="127"/>
        <v>0</v>
      </c>
    </row>
    <row r="2007" spans="1:12" x14ac:dyDescent="0.35">
      <c r="A2007" s="1" t="s">
        <v>72</v>
      </c>
      <c r="B2007">
        <v>1.0280365199999999</v>
      </c>
      <c r="C2007">
        <v>2.4767999999999998E-2</v>
      </c>
      <c r="D2007">
        <v>-1.929</v>
      </c>
      <c r="E2007">
        <v>0</v>
      </c>
      <c r="F2007">
        <v>0</v>
      </c>
      <c r="G2007">
        <v>1011.6093</v>
      </c>
      <c r="I2007">
        <f t="shared" si="124"/>
        <v>0.48218416286837618</v>
      </c>
      <c r="J2007">
        <f t="shared" si="125"/>
        <v>-38.606708238220314</v>
      </c>
      <c r="K2007">
        <f t="shared" si="126"/>
        <v>0</v>
      </c>
      <c r="L2007">
        <f t="shared" si="127"/>
        <v>0</v>
      </c>
    </row>
    <row r="2008" spans="1:12" x14ac:dyDescent="0.35">
      <c r="A2008" s="1" t="s">
        <v>73</v>
      </c>
      <c r="B2008">
        <v>0.4975</v>
      </c>
      <c r="C2008">
        <v>0</v>
      </c>
      <c r="D2008">
        <v>4.61414189</v>
      </c>
      <c r="E2008">
        <v>0</v>
      </c>
      <c r="F2008">
        <v>0</v>
      </c>
      <c r="G2008">
        <v>1012.1968000000001</v>
      </c>
      <c r="I2008">
        <f t="shared" si="124"/>
        <v>0</v>
      </c>
      <c r="J2008">
        <f t="shared" si="125"/>
        <v>92.346723544313335</v>
      </c>
      <c r="K2008">
        <f t="shared" si="126"/>
        <v>0</v>
      </c>
      <c r="L2008">
        <f t="shared" si="127"/>
        <v>0</v>
      </c>
    </row>
    <row r="2009" spans="1:12" x14ac:dyDescent="0.35">
      <c r="A2009" s="1" t="s">
        <v>28</v>
      </c>
      <c r="B2009">
        <v>0.1</v>
      </c>
      <c r="C2009">
        <v>0</v>
      </c>
      <c r="D2009">
        <v>0</v>
      </c>
      <c r="E2009">
        <v>0</v>
      </c>
      <c r="F2009">
        <v>0</v>
      </c>
      <c r="G2009">
        <v>1012.3678</v>
      </c>
      <c r="I2009">
        <f t="shared" si="124"/>
        <v>0</v>
      </c>
      <c r="J2009">
        <f t="shared" si="125"/>
        <v>0</v>
      </c>
      <c r="K2009">
        <f t="shared" si="126"/>
        <v>0</v>
      </c>
      <c r="L2009">
        <f t="shared" si="127"/>
        <v>0</v>
      </c>
    </row>
    <row r="2010" spans="1:12" x14ac:dyDescent="0.35">
      <c r="A2010" s="1" t="s">
        <v>74</v>
      </c>
      <c r="B2010">
        <v>0.40000102700000001</v>
      </c>
      <c r="C2010">
        <v>5.2300999999999997E-3</v>
      </c>
      <c r="D2010">
        <v>-1.5815999999999999</v>
      </c>
      <c r="E2010">
        <v>0</v>
      </c>
      <c r="F2010">
        <v>0</v>
      </c>
      <c r="G2010">
        <v>1012.8608</v>
      </c>
      <c r="I2010">
        <f t="shared" si="124"/>
        <v>0.26168536331815889</v>
      </c>
      <c r="J2010">
        <f t="shared" si="125"/>
        <v>-31.653898263125576</v>
      </c>
      <c r="K2010">
        <f t="shared" si="126"/>
        <v>0</v>
      </c>
      <c r="L2010">
        <f t="shared" si="127"/>
        <v>0</v>
      </c>
    </row>
    <row r="2011" spans="1:12" x14ac:dyDescent="0.35">
      <c r="A2011" s="1" t="s">
        <v>30</v>
      </c>
      <c r="B2011">
        <v>2.44294E-2</v>
      </c>
      <c r="C2011">
        <v>1.0499000000000001E-3</v>
      </c>
      <c r="D2011">
        <v>0</v>
      </c>
      <c r="E2011">
        <v>0</v>
      </c>
      <c r="F2011">
        <v>0</v>
      </c>
      <c r="G2011">
        <v>1012.9558</v>
      </c>
      <c r="I2011">
        <f t="shared" si="124"/>
        <v>0.8601331402616047</v>
      </c>
      <c r="J2011">
        <f t="shared" si="125"/>
        <v>0</v>
      </c>
      <c r="K2011">
        <f t="shared" si="126"/>
        <v>0</v>
      </c>
      <c r="L2011">
        <f t="shared" si="127"/>
        <v>0</v>
      </c>
    </row>
    <row r="2012" spans="1:12" x14ac:dyDescent="0.35">
      <c r="A2012" s="1" t="s">
        <v>30</v>
      </c>
      <c r="B2012">
        <v>2.44294E-2</v>
      </c>
      <c r="C2012">
        <v>1.0499000000000001E-3</v>
      </c>
      <c r="D2012">
        <v>0</v>
      </c>
      <c r="E2012">
        <v>0</v>
      </c>
      <c r="F2012">
        <v>0</v>
      </c>
      <c r="G2012">
        <f>1012.9558+0.0244294</f>
        <v>1012.9802294</v>
      </c>
      <c r="I2012">
        <f t="shared" si="124"/>
        <v>0.8601331402616047</v>
      </c>
      <c r="J2012">
        <f t="shared" si="125"/>
        <v>0</v>
      </c>
      <c r="K2012">
        <f t="shared" si="126"/>
        <v>0</v>
      </c>
      <c r="L2012">
        <f t="shared" si="127"/>
        <v>0</v>
      </c>
    </row>
    <row r="2013" spans="1:12" x14ac:dyDescent="0.35">
      <c r="A2013" s="1" t="s">
        <v>75</v>
      </c>
      <c r="B2013">
        <v>0.40000102700000001</v>
      </c>
      <c r="C2013">
        <v>5.2300999999999997E-3</v>
      </c>
      <c r="D2013">
        <v>-1.5815999999999999</v>
      </c>
      <c r="E2013">
        <v>0</v>
      </c>
      <c r="F2013">
        <v>0</v>
      </c>
      <c r="G2013">
        <v>1013.4507</v>
      </c>
      <c r="I2013">
        <f t="shared" si="124"/>
        <v>0.26168536331815889</v>
      </c>
      <c r="J2013">
        <f t="shared" si="125"/>
        <v>-31.653898263125576</v>
      </c>
      <c r="K2013">
        <f t="shared" si="126"/>
        <v>0</v>
      </c>
      <c r="L2013">
        <f t="shared" si="127"/>
        <v>0</v>
      </c>
    </row>
    <row r="2014" spans="1:12" x14ac:dyDescent="0.35">
      <c r="A2014" s="1" t="s">
        <v>76</v>
      </c>
      <c r="B2014">
        <v>0.4975</v>
      </c>
      <c r="C2014">
        <v>0</v>
      </c>
      <c r="D2014">
        <v>4.61414189</v>
      </c>
      <c r="E2014">
        <v>0</v>
      </c>
      <c r="F2014">
        <v>0</v>
      </c>
      <c r="G2014">
        <v>1014.2123</v>
      </c>
      <c r="I2014">
        <f t="shared" si="124"/>
        <v>0</v>
      </c>
      <c r="J2014">
        <f t="shared" si="125"/>
        <v>92.346723544313335</v>
      </c>
      <c r="K2014">
        <f t="shared" si="126"/>
        <v>0</v>
      </c>
      <c r="L2014">
        <f t="shared" si="127"/>
        <v>0</v>
      </c>
    </row>
    <row r="2015" spans="1:12" x14ac:dyDescent="0.35">
      <c r="A2015" s="1" t="s">
        <v>77</v>
      </c>
      <c r="B2015">
        <v>1.0280365199999999</v>
      </c>
      <c r="C2015">
        <v>2.4767999999999998E-2</v>
      </c>
      <c r="D2015">
        <v>-1.929</v>
      </c>
      <c r="E2015">
        <v>0</v>
      </c>
      <c r="F2015">
        <v>0</v>
      </c>
      <c r="G2015">
        <v>1015.3303</v>
      </c>
      <c r="I2015">
        <f t="shared" si="124"/>
        <v>0.48218416286837618</v>
      </c>
      <c r="J2015">
        <f t="shared" si="125"/>
        <v>-38.606708238220314</v>
      </c>
      <c r="K2015">
        <f t="shared" si="126"/>
        <v>0</v>
      </c>
      <c r="L2015">
        <f t="shared" si="127"/>
        <v>0</v>
      </c>
    </row>
    <row r="2016" spans="1:12" x14ac:dyDescent="0.35">
      <c r="A2016" s="1" t="s">
        <v>78</v>
      </c>
      <c r="B2016">
        <v>0.3745</v>
      </c>
      <c r="C2016">
        <v>0</v>
      </c>
      <c r="D2016">
        <v>4.5116622</v>
      </c>
      <c r="E2016">
        <v>0</v>
      </c>
      <c r="F2016">
        <v>0</v>
      </c>
      <c r="G2016">
        <v>1015.7948</v>
      </c>
      <c r="I2016">
        <f t="shared" si="124"/>
        <v>0</v>
      </c>
      <c r="J2016">
        <f t="shared" si="125"/>
        <v>90.29571084748946</v>
      </c>
      <c r="K2016">
        <f t="shared" si="126"/>
        <v>0</v>
      </c>
      <c r="L2016">
        <f t="shared" si="127"/>
        <v>0</v>
      </c>
    </row>
    <row r="2017" spans="1:12" x14ac:dyDescent="0.35">
      <c r="A2017" s="1" t="s">
        <v>35</v>
      </c>
      <c r="B2017">
        <v>0.41782941899999998</v>
      </c>
      <c r="C2017">
        <v>7.6290999999999998E-3</v>
      </c>
      <c r="D2017">
        <v>0</v>
      </c>
      <c r="E2017">
        <v>0</v>
      </c>
      <c r="F2017">
        <v>0</v>
      </c>
      <c r="G2017">
        <v>1016.3626</v>
      </c>
      <c r="I2017">
        <f t="shared" si="124"/>
        <v>0.36543053893202671</v>
      </c>
      <c r="J2017">
        <f t="shared" si="125"/>
        <v>0</v>
      </c>
      <c r="K2017">
        <f t="shared" si="126"/>
        <v>0</v>
      </c>
      <c r="L2017">
        <f t="shared" si="127"/>
        <v>0</v>
      </c>
    </row>
    <row r="2018" spans="1:12" x14ac:dyDescent="0.35">
      <c r="A2018" s="1" t="s">
        <v>36</v>
      </c>
      <c r="B2018">
        <v>0.41782864199999997</v>
      </c>
      <c r="C2018">
        <v>5.4992000000000001E-3</v>
      </c>
      <c r="D2018">
        <v>0</v>
      </c>
      <c r="E2018">
        <v>0</v>
      </c>
      <c r="F2018">
        <v>0</v>
      </c>
      <c r="G2018">
        <v>1016.7805</v>
      </c>
      <c r="I2018">
        <f t="shared" si="124"/>
        <v>0.26340975432619773</v>
      </c>
      <c r="J2018">
        <f t="shared" si="125"/>
        <v>0</v>
      </c>
      <c r="K2018">
        <f t="shared" si="126"/>
        <v>0</v>
      </c>
      <c r="L2018">
        <f t="shared" si="127"/>
        <v>0</v>
      </c>
    </row>
    <row r="2019" spans="1:12" x14ac:dyDescent="0.35">
      <c r="A2019" s="1" t="s">
        <v>37</v>
      </c>
      <c r="B2019">
        <v>0.41782827500000003</v>
      </c>
      <c r="C2019">
        <v>4.1392E-3</v>
      </c>
      <c r="D2019">
        <v>0</v>
      </c>
      <c r="E2019">
        <v>0</v>
      </c>
      <c r="F2019">
        <v>0</v>
      </c>
      <c r="G2019">
        <v>1017.1983</v>
      </c>
      <c r="I2019">
        <f t="shared" si="124"/>
        <v>0.19826640470947862</v>
      </c>
      <c r="J2019">
        <f t="shared" si="125"/>
        <v>0</v>
      </c>
      <c r="K2019">
        <f t="shared" si="126"/>
        <v>0</v>
      </c>
      <c r="L2019">
        <f t="shared" si="127"/>
        <v>0</v>
      </c>
    </row>
    <row r="2020" spans="1:12" x14ac:dyDescent="0.35">
      <c r="A2020" s="1" t="s">
        <v>38</v>
      </c>
      <c r="B2020">
        <v>0.41782808399999999</v>
      </c>
      <c r="C2020">
        <v>3.2192000000000002E-3</v>
      </c>
      <c r="D2020">
        <v>0</v>
      </c>
      <c r="E2020">
        <v>0</v>
      </c>
      <c r="F2020">
        <v>0</v>
      </c>
      <c r="G2020">
        <v>1017.6161</v>
      </c>
      <c r="I2020">
        <f t="shared" si="124"/>
        <v>0.15419875865034546</v>
      </c>
      <c r="J2020">
        <f t="shared" si="125"/>
        <v>0</v>
      </c>
      <c r="K2020">
        <f t="shared" si="126"/>
        <v>0</v>
      </c>
      <c r="L2020">
        <f t="shared" si="127"/>
        <v>0</v>
      </c>
    </row>
    <row r="2021" spans="1:12" x14ac:dyDescent="0.35">
      <c r="A2021" s="1" t="s">
        <v>39</v>
      </c>
      <c r="B2021">
        <v>0.41782794400000001</v>
      </c>
      <c r="C2021">
        <v>2.3392E-3</v>
      </c>
      <c r="D2021">
        <v>0</v>
      </c>
      <c r="E2021">
        <v>0</v>
      </c>
      <c r="F2021">
        <v>0</v>
      </c>
      <c r="G2021">
        <v>1018.034</v>
      </c>
      <c r="I2021">
        <f t="shared" si="124"/>
        <v>0.11204704805350077</v>
      </c>
      <c r="J2021">
        <f t="shared" si="125"/>
        <v>0</v>
      </c>
      <c r="K2021">
        <f t="shared" si="126"/>
        <v>0</v>
      </c>
      <c r="L2021">
        <f t="shared" si="127"/>
        <v>0</v>
      </c>
    </row>
    <row r="2022" spans="1:12" x14ac:dyDescent="0.35">
      <c r="A2022" s="1" t="s">
        <v>79</v>
      </c>
      <c r="B2022">
        <v>0.21199999999999999</v>
      </c>
      <c r="C2022">
        <v>0</v>
      </c>
      <c r="D2022">
        <v>-2.53358734</v>
      </c>
      <c r="E2022">
        <v>0</v>
      </c>
      <c r="F2022">
        <v>0</v>
      </c>
      <c r="G2022">
        <v>1018.293</v>
      </c>
      <c r="I2022">
        <f t="shared" si="124"/>
        <v>0</v>
      </c>
      <c r="J2022">
        <f t="shared" si="125"/>
        <v>-50.706825936458621</v>
      </c>
      <c r="K2022">
        <f t="shared" si="126"/>
        <v>0</v>
      </c>
      <c r="L2022">
        <f t="shared" si="127"/>
        <v>0</v>
      </c>
    </row>
    <row r="2023" spans="1:12" x14ac:dyDescent="0.35">
      <c r="A2023" s="1" t="s">
        <v>80</v>
      </c>
      <c r="B2023">
        <v>0.16600000000000001</v>
      </c>
      <c r="C2023">
        <v>0</v>
      </c>
      <c r="D2023">
        <v>0</v>
      </c>
      <c r="E2023">
        <v>-202.23429300000001</v>
      </c>
      <c r="F2023">
        <v>0</v>
      </c>
      <c r="G2023">
        <v>1018.534</v>
      </c>
      <c r="I2023">
        <f t="shared" si="124"/>
        <v>0</v>
      </c>
      <c r="J2023">
        <f t="shared" si="125"/>
        <v>0</v>
      </c>
      <c r="K2023">
        <f t="shared" si="126"/>
        <v>-4047.4859230760812</v>
      </c>
      <c r="L2023">
        <f t="shared" si="127"/>
        <v>0</v>
      </c>
    </row>
    <row r="2024" spans="1:12" x14ac:dyDescent="0.35">
      <c r="A2024" s="1" t="s">
        <v>81</v>
      </c>
      <c r="B2024">
        <v>0.09</v>
      </c>
      <c r="C2024">
        <v>0</v>
      </c>
      <c r="D2024">
        <v>0</v>
      </c>
      <c r="E2024">
        <v>0</v>
      </c>
      <c r="F2024">
        <v>-13632</v>
      </c>
      <c r="G2024">
        <v>1019.0748</v>
      </c>
      <c r="I2024">
        <f t="shared" si="124"/>
        <v>0</v>
      </c>
      <c r="J2024">
        <f t="shared" si="125"/>
        <v>0</v>
      </c>
      <c r="K2024">
        <f t="shared" si="126"/>
        <v>0</v>
      </c>
      <c r="L2024">
        <f t="shared" si="127"/>
        <v>-272828.74375501258</v>
      </c>
    </row>
    <row r="2025" spans="1:12" x14ac:dyDescent="0.35">
      <c r="A2025" s="1" t="s">
        <v>82</v>
      </c>
      <c r="B2025">
        <v>0.21199999999999999</v>
      </c>
      <c r="C2025">
        <v>0</v>
      </c>
      <c r="D2025">
        <v>2.47240752</v>
      </c>
      <c r="E2025">
        <v>0</v>
      </c>
      <c r="F2025">
        <v>0</v>
      </c>
      <c r="G2025">
        <v>1019.3468</v>
      </c>
      <c r="I2025">
        <f t="shared" si="124"/>
        <v>0</v>
      </c>
      <c r="J2025">
        <f t="shared" si="125"/>
        <v>49.48238246273813</v>
      </c>
      <c r="K2025">
        <f t="shared" si="126"/>
        <v>0</v>
      </c>
      <c r="L2025">
        <f t="shared" si="127"/>
        <v>0</v>
      </c>
    </row>
    <row r="2026" spans="1:12" x14ac:dyDescent="0.35">
      <c r="A2026" s="1" t="s">
        <v>83</v>
      </c>
      <c r="B2026">
        <v>0.1</v>
      </c>
      <c r="C2026">
        <v>0</v>
      </c>
      <c r="D2026">
        <v>0</v>
      </c>
      <c r="E2026">
        <v>172.62799999999999</v>
      </c>
      <c r="F2026">
        <v>0</v>
      </c>
      <c r="G2026">
        <v>1019.5218</v>
      </c>
      <c r="I2026">
        <f t="shared" si="124"/>
        <v>0</v>
      </c>
      <c r="J2026">
        <f t="shared" si="125"/>
        <v>0</v>
      </c>
      <c r="K2026">
        <f t="shared" si="126"/>
        <v>3454.9501450220296</v>
      </c>
      <c r="L2026">
        <f t="shared" si="127"/>
        <v>0</v>
      </c>
    </row>
    <row r="2027" spans="1:12" x14ac:dyDescent="0.35">
      <c r="A2027" s="1" t="s">
        <v>83</v>
      </c>
      <c r="B2027">
        <v>0.1</v>
      </c>
      <c r="C2027">
        <v>0</v>
      </c>
      <c r="D2027">
        <v>0</v>
      </c>
      <c r="E2027">
        <v>172.62799999999999</v>
      </c>
      <c r="F2027">
        <v>0</v>
      </c>
      <c r="G2027">
        <f>0.1+1019.5218</f>
        <v>1019.6218</v>
      </c>
      <c r="I2027">
        <f t="shared" si="124"/>
        <v>0</v>
      </c>
      <c r="J2027">
        <f t="shared" si="125"/>
        <v>0</v>
      </c>
      <c r="K2027">
        <f t="shared" si="126"/>
        <v>3454.9501450220296</v>
      </c>
      <c r="L2027">
        <f t="shared" si="127"/>
        <v>0</v>
      </c>
    </row>
    <row r="2028" spans="1:12" x14ac:dyDescent="0.35">
      <c r="A2028" s="1" t="s">
        <v>84</v>
      </c>
      <c r="B2028">
        <v>0.21199999999999999</v>
      </c>
      <c r="C2028">
        <v>0</v>
      </c>
      <c r="D2028">
        <v>2.47240752</v>
      </c>
      <c r="E2028">
        <v>0</v>
      </c>
      <c r="F2028">
        <v>0</v>
      </c>
      <c r="G2028">
        <v>1019.9088</v>
      </c>
      <c r="I2028">
        <f t="shared" si="124"/>
        <v>0</v>
      </c>
      <c r="J2028">
        <f t="shared" si="125"/>
        <v>49.48238246273813</v>
      </c>
      <c r="K2028">
        <f t="shared" si="126"/>
        <v>0</v>
      </c>
      <c r="L2028">
        <f t="shared" si="127"/>
        <v>0</v>
      </c>
    </row>
    <row r="2029" spans="1:12" x14ac:dyDescent="0.35">
      <c r="A2029" s="1" t="s">
        <v>85</v>
      </c>
      <c r="B2029">
        <v>0.16600000000000001</v>
      </c>
      <c r="C2029">
        <v>0</v>
      </c>
      <c r="D2029">
        <v>0</v>
      </c>
      <c r="E2029">
        <v>-132.861086</v>
      </c>
      <c r="F2029">
        <v>0</v>
      </c>
      <c r="G2029">
        <v>1020.6757</v>
      </c>
      <c r="I2029">
        <f t="shared" si="124"/>
        <v>0</v>
      </c>
      <c r="J2029">
        <f t="shared" si="125"/>
        <v>0</v>
      </c>
      <c r="K2029">
        <f t="shared" si="126"/>
        <v>-2659.0612666744933</v>
      </c>
      <c r="L2029">
        <f t="shared" si="127"/>
        <v>0</v>
      </c>
    </row>
    <row r="2030" spans="1:12" x14ac:dyDescent="0.35">
      <c r="A2030" s="1" t="s">
        <v>86</v>
      </c>
      <c r="B2030">
        <v>0.21199999999999999</v>
      </c>
      <c r="C2030">
        <v>0</v>
      </c>
      <c r="D2030">
        <v>-2.3709669899999999</v>
      </c>
      <c r="E2030">
        <v>0</v>
      </c>
      <c r="F2030">
        <v>0</v>
      </c>
      <c r="G2030">
        <v>1020.9627</v>
      </c>
      <c r="I2030">
        <f t="shared" si="124"/>
        <v>0</v>
      </c>
      <c r="J2030">
        <f t="shared" si="125"/>
        <v>-47.452167353748784</v>
      </c>
      <c r="K2030">
        <f t="shared" si="126"/>
        <v>0</v>
      </c>
      <c r="L2030">
        <f t="shared" si="127"/>
        <v>0</v>
      </c>
    </row>
    <row r="2031" spans="1:12" x14ac:dyDescent="0.35">
      <c r="A2031" s="1" t="s">
        <v>48</v>
      </c>
      <c r="B2031">
        <v>0.41782794400000001</v>
      </c>
      <c r="C2031">
        <v>2.3392E-3</v>
      </c>
      <c r="D2031">
        <v>0</v>
      </c>
      <c r="E2031">
        <v>0</v>
      </c>
      <c r="F2031">
        <v>0</v>
      </c>
      <c r="G2031">
        <v>1021.4275</v>
      </c>
      <c r="I2031">
        <f t="shared" si="124"/>
        <v>0.11204704805350077</v>
      </c>
      <c r="J2031">
        <f t="shared" si="125"/>
        <v>0</v>
      </c>
      <c r="K2031">
        <f t="shared" si="126"/>
        <v>0</v>
      </c>
      <c r="L2031">
        <f t="shared" si="127"/>
        <v>0</v>
      </c>
    </row>
    <row r="2032" spans="1:12" x14ac:dyDescent="0.35">
      <c r="A2032" s="1" t="s">
        <v>49</v>
      </c>
      <c r="B2032">
        <v>0.41782808399999999</v>
      </c>
      <c r="C2032">
        <v>3.2192000000000002E-3</v>
      </c>
      <c r="D2032">
        <v>0</v>
      </c>
      <c r="E2032">
        <v>0</v>
      </c>
      <c r="F2032">
        <v>0</v>
      </c>
      <c r="G2032">
        <v>1021.8453</v>
      </c>
      <c r="I2032">
        <f t="shared" si="124"/>
        <v>0.15419875865034546</v>
      </c>
      <c r="J2032">
        <f t="shared" si="125"/>
        <v>0</v>
      </c>
      <c r="K2032">
        <f t="shared" si="126"/>
        <v>0</v>
      </c>
      <c r="L2032">
        <f t="shared" si="127"/>
        <v>0</v>
      </c>
    </row>
    <row r="2033" spans="1:12" x14ac:dyDescent="0.35">
      <c r="A2033" s="1" t="s">
        <v>50</v>
      </c>
      <c r="B2033">
        <v>0.41782827500000003</v>
      </c>
      <c r="C2033">
        <v>4.1392E-3</v>
      </c>
      <c r="D2033">
        <v>0</v>
      </c>
      <c r="E2033">
        <v>0</v>
      </c>
      <c r="F2033">
        <v>0</v>
      </c>
      <c r="G2033">
        <v>1022.2631</v>
      </c>
      <c r="I2033">
        <f t="shared" si="124"/>
        <v>0.19826640470947862</v>
      </c>
      <c r="J2033">
        <f t="shared" si="125"/>
        <v>0</v>
      </c>
      <c r="K2033">
        <f t="shared" si="126"/>
        <v>0</v>
      </c>
      <c r="L2033">
        <f t="shared" si="127"/>
        <v>0</v>
      </c>
    </row>
    <row r="2034" spans="1:12" x14ac:dyDescent="0.35">
      <c r="A2034" s="1" t="s">
        <v>51</v>
      </c>
      <c r="B2034">
        <v>0.41782864199999997</v>
      </c>
      <c r="C2034">
        <v>5.4992000000000001E-3</v>
      </c>
      <c r="D2034">
        <v>0</v>
      </c>
      <c r="E2034">
        <v>0</v>
      </c>
      <c r="F2034">
        <v>0</v>
      </c>
      <c r="G2034">
        <v>1022.681</v>
      </c>
      <c r="I2034">
        <f t="shared" si="124"/>
        <v>0.26340975432619773</v>
      </c>
      <c r="J2034">
        <f t="shared" si="125"/>
        <v>0</v>
      </c>
      <c r="K2034">
        <f t="shared" si="126"/>
        <v>0</v>
      </c>
      <c r="L2034">
        <f t="shared" si="127"/>
        <v>0</v>
      </c>
    </row>
    <row r="2035" spans="1:12" x14ac:dyDescent="0.35">
      <c r="A2035" s="1" t="s">
        <v>52</v>
      </c>
      <c r="B2035">
        <v>0.41783028900000002</v>
      </c>
      <c r="C2035">
        <v>9.4690999999999994E-3</v>
      </c>
      <c r="D2035">
        <v>0</v>
      </c>
      <c r="E2035">
        <v>0</v>
      </c>
      <c r="F2035">
        <v>0</v>
      </c>
      <c r="G2035">
        <v>1023.0988</v>
      </c>
      <c r="I2035">
        <f t="shared" si="124"/>
        <v>0.45356478630764774</v>
      </c>
      <c r="J2035">
        <f t="shared" si="125"/>
        <v>0</v>
      </c>
      <c r="K2035">
        <f t="shared" si="126"/>
        <v>0</v>
      </c>
      <c r="L2035">
        <f t="shared" si="127"/>
        <v>0</v>
      </c>
    </row>
    <row r="2036" spans="1:12" x14ac:dyDescent="0.35">
      <c r="A2036" s="1" t="s">
        <v>87</v>
      </c>
      <c r="B2036">
        <v>0.16200000000000001</v>
      </c>
      <c r="C2036">
        <v>0</v>
      </c>
      <c r="D2036">
        <v>-2.8698264299999998</v>
      </c>
      <c r="E2036">
        <v>0</v>
      </c>
      <c r="F2036">
        <v>0</v>
      </c>
      <c r="G2036">
        <v>1023.3078</v>
      </c>
      <c r="I2036">
        <f t="shared" si="124"/>
        <v>0</v>
      </c>
      <c r="J2036">
        <f t="shared" si="125"/>
        <v>-57.436263181619168</v>
      </c>
      <c r="K2036">
        <f t="shared" si="126"/>
        <v>0</v>
      </c>
      <c r="L2036">
        <f t="shared" si="127"/>
        <v>0</v>
      </c>
    </row>
    <row r="2037" spans="1:12" x14ac:dyDescent="0.35">
      <c r="A2037" s="1" t="s">
        <v>54</v>
      </c>
      <c r="B2037">
        <v>0.1</v>
      </c>
      <c r="C2037">
        <v>0</v>
      </c>
      <c r="D2037">
        <v>0</v>
      </c>
      <c r="E2037">
        <v>0</v>
      </c>
      <c r="F2037">
        <v>0</v>
      </c>
      <c r="G2037">
        <v>1023.6378</v>
      </c>
      <c r="I2037">
        <f t="shared" si="124"/>
        <v>0</v>
      </c>
      <c r="J2037">
        <f t="shared" si="125"/>
        <v>0</v>
      </c>
      <c r="K2037">
        <f t="shared" si="126"/>
        <v>0</v>
      </c>
      <c r="L2037">
        <f t="shared" si="127"/>
        <v>0</v>
      </c>
    </row>
    <row r="2038" spans="1:12" x14ac:dyDescent="0.35">
      <c r="A2038" s="1" t="s">
        <v>88</v>
      </c>
      <c r="B2038">
        <v>0.29499999999999998</v>
      </c>
      <c r="C2038">
        <v>0</v>
      </c>
      <c r="D2038">
        <v>2.43875777</v>
      </c>
      <c r="E2038">
        <v>0</v>
      </c>
      <c r="F2038">
        <v>0</v>
      </c>
      <c r="G2038">
        <v>1024.0427999999999</v>
      </c>
      <c r="I2038">
        <f t="shared" si="124"/>
        <v>0</v>
      </c>
      <c r="J2038">
        <f t="shared" si="125"/>
        <v>48.808921560436907</v>
      </c>
      <c r="K2038">
        <f t="shared" si="126"/>
        <v>0</v>
      </c>
      <c r="L2038">
        <f t="shared" si="127"/>
        <v>0</v>
      </c>
    </row>
    <row r="2039" spans="1:12" x14ac:dyDescent="0.35">
      <c r="A2039" s="1" t="s">
        <v>56</v>
      </c>
      <c r="B2039">
        <v>0.29499999999999998</v>
      </c>
      <c r="C2039">
        <v>0</v>
      </c>
      <c r="D2039">
        <v>2.43875777</v>
      </c>
      <c r="E2039">
        <v>0</v>
      </c>
      <c r="F2039">
        <v>0</v>
      </c>
      <c r="G2039">
        <v>1029.9159999999999</v>
      </c>
      <c r="I2039">
        <f t="shared" si="124"/>
        <v>0</v>
      </c>
      <c r="J2039">
        <f t="shared" si="125"/>
        <v>48.808921560436907</v>
      </c>
      <c r="K2039">
        <f t="shared" si="126"/>
        <v>0</v>
      </c>
      <c r="L2039">
        <f t="shared" si="127"/>
        <v>0</v>
      </c>
    </row>
    <row r="2040" spans="1:12" x14ac:dyDescent="0.35">
      <c r="A2040" s="1" t="s">
        <v>2</v>
      </c>
      <c r="B2040">
        <v>0.1</v>
      </c>
      <c r="C2040">
        <v>0</v>
      </c>
      <c r="D2040">
        <v>0</v>
      </c>
      <c r="E2040">
        <v>0</v>
      </c>
      <c r="F2040">
        <v>0</v>
      </c>
      <c r="G2040">
        <v>1030.126</v>
      </c>
      <c r="I2040">
        <f t="shared" si="124"/>
        <v>0</v>
      </c>
      <c r="J2040">
        <f t="shared" si="125"/>
        <v>0</v>
      </c>
      <c r="K2040">
        <f t="shared" si="126"/>
        <v>0</v>
      </c>
      <c r="L2040">
        <f t="shared" si="127"/>
        <v>0</v>
      </c>
    </row>
    <row r="2041" spans="1:12" x14ac:dyDescent="0.35">
      <c r="A2041" s="1" t="s">
        <v>57</v>
      </c>
      <c r="B2041">
        <v>0.16200000000000001</v>
      </c>
      <c r="C2041">
        <v>0</v>
      </c>
      <c r="D2041">
        <v>-2.8698264299999998</v>
      </c>
      <c r="E2041">
        <v>0</v>
      </c>
      <c r="F2041">
        <v>0</v>
      </c>
      <c r="G2041">
        <v>1030.518</v>
      </c>
      <c r="I2041">
        <f t="shared" si="124"/>
        <v>0</v>
      </c>
      <c r="J2041">
        <f t="shared" si="125"/>
        <v>-57.436263181619168</v>
      </c>
      <c r="K2041">
        <f t="shared" si="126"/>
        <v>0</v>
      </c>
      <c r="L2041">
        <f t="shared" si="127"/>
        <v>0</v>
      </c>
    </row>
    <row r="2042" spans="1:12" x14ac:dyDescent="0.35">
      <c r="A2042" s="1" t="s">
        <v>58</v>
      </c>
      <c r="B2042">
        <v>0.41783028900000002</v>
      </c>
      <c r="C2042">
        <v>9.4690999999999994E-3</v>
      </c>
      <c r="D2042">
        <v>0</v>
      </c>
      <c r="E2042">
        <v>0</v>
      </c>
      <c r="F2042">
        <v>0</v>
      </c>
      <c r="G2042">
        <v>1030.9828</v>
      </c>
      <c r="I2042">
        <f t="shared" si="124"/>
        <v>0.45356478630764774</v>
      </c>
      <c r="J2042">
        <f t="shared" si="125"/>
        <v>0</v>
      </c>
      <c r="K2042">
        <f t="shared" si="126"/>
        <v>0</v>
      </c>
      <c r="L2042">
        <f t="shared" si="127"/>
        <v>0</v>
      </c>
    </row>
    <row r="2043" spans="1:12" x14ac:dyDescent="0.35">
      <c r="A2043" s="1" t="s">
        <v>59</v>
      </c>
      <c r="B2043">
        <v>0.41782864199999997</v>
      </c>
      <c r="C2043">
        <v>5.4992000000000001E-3</v>
      </c>
      <c r="D2043">
        <v>0</v>
      </c>
      <c r="E2043">
        <v>0</v>
      </c>
      <c r="F2043">
        <v>0</v>
      </c>
      <c r="G2043">
        <v>1031.4005999999999</v>
      </c>
      <c r="I2043">
        <f t="shared" si="124"/>
        <v>0.26340975432619773</v>
      </c>
      <c r="J2043">
        <f t="shared" si="125"/>
        <v>0</v>
      </c>
      <c r="K2043">
        <f t="shared" si="126"/>
        <v>0</v>
      </c>
      <c r="L2043">
        <f t="shared" si="127"/>
        <v>0</v>
      </c>
    </row>
    <row r="2044" spans="1:12" x14ac:dyDescent="0.35">
      <c r="A2044" s="1" t="s">
        <v>60</v>
      </c>
      <c r="B2044">
        <v>0.41782827500000003</v>
      </c>
      <c r="C2044">
        <v>4.1392E-3</v>
      </c>
      <c r="D2044">
        <v>0</v>
      </c>
      <c r="E2044">
        <v>0</v>
      </c>
      <c r="F2044">
        <v>0</v>
      </c>
      <c r="G2044">
        <v>1031.8184000000001</v>
      </c>
      <c r="I2044">
        <f t="shared" si="124"/>
        <v>0.19826640470947862</v>
      </c>
      <c r="J2044">
        <f t="shared" si="125"/>
        <v>0</v>
      </c>
      <c r="K2044">
        <f t="shared" si="126"/>
        <v>0</v>
      </c>
      <c r="L2044">
        <f t="shared" si="127"/>
        <v>0</v>
      </c>
    </row>
    <row r="2045" spans="1:12" x14ac:dyDescent="0.35">
      <c r="A2045" s="1" t="s">
        <v>61</v>
      </c>
      <c r="B2045">
        <v>0.41782808399999999</v>
      </c>
      <c r="C2045">
        <v>3.2192000000000002E-3</v>
      </c>
      <c r="D2045">
        <v>0</v>
      </c>
      <c r="E2045">
        <v>0</v>
      </c>
      <c r="F2045">
        <v>0</v>
      </c>
      <c r="G2045">
        <v>1032.2363</v>
      </c>
      <c r="I2045">
        <f t="shared" si="124"/>
        <v>0.15419875865034546</v>
      </c>
      <c r="J2045">
        <f t="shared" si="125"/>
        <v>0</v>
      </c>
      <c r="K2045">
        <f t="shared" si="126"/>
        <v>0</v>
      </c>
      <c r="L2045">
        <f t="shared" si="127"/>
        <v>0</v>
      </c>
    </row>
    <row r="2046" spans="1:12" x14ac:dyDescent="0.35">
      <c r="A2046" s="1" t="s">
        <v>62</v>
      </c>
      <c r="B2046">
        <v>0.41782794400000001</v>
      </c>
      <c r="C2046">
        <v>2.3392E-3</v>
      </c>
      <c r="D2046">
        <v>0</v>
      </c>
      <c r="E2046">
        <v>0</v>
      </c>
      <c r="F2046">
        <v>0</v>
      </c>
      <c r="G2046">
        <v>1032.6541</v>
      </c>
      <c r="I2046">
        <f t="shared" si="124"/>
        <v>0.11204704805350077</v>
      </c>
      <c r="J2046">
        <f t="shared" si="125"/>
        <v>0</v>
      </c>
      <c r="K2046">
        <f t="shared" si="126"/>
        <v>0</v>
      </c>
      <c r="L2046">
        <f t="shared" si="127"/>
        <v>0</v>
      </c>
    </row>
    <row r="2047" spans="1:12" x14ac:dyDescent="0.35">
      <c r="A2047" s="1" t="s">
        <v>63</v>
      </c>
      <c r="B2047">
        <v>0.21199999999999999</v>
      </c>
      <c r="C2047">
        <v>0</v>
      </c>
      <c r="D2047">
        <v>-2.3709669899999999</v>
      </c>
      <c r="E2047">
        <v>0</v>
      </c>
      <c r="F2047">
        <v>0</v>
      </c>
      <c r="G2047">
        <v>1032.9131</v>
      </c>
      <c r="I2047">
        <f t="shared" si="124"/>
        <v>0</v>
      </c>
      <c r="J2047">
        <f t="shared" si="125"/>
        <v>-47.452167353748784</v>
      </c>
      <c r="K2047">
        <f t="shared" si="126"/>
        <v>0</v>
      </c>
      <c r="L2047">
        <f t="shared" si="127"/>
        <v>0</v>
      </c>
    </row>
    <row r="2048" spans="1:12" x14ac:dyDescent="0.35">
      <c r="A2048" s="1" t="s">
        <v>64</v>
      </c>
      <c r="B2048">
        <v>0.16600000000000001</v>
      </c>
      <c r="C2048">
        <v>0</v>
      </c>
      <c r="D2048">
        <v>0</v>
      </c>
      <c r="E2048">
        <v>-132.861086</v>
      </c>
      <c r="F2048">
        <v>0</v>
      </c>
      <c r="G2048">
        <v>1033.1541</v>
      </c>
      <c r="I2048">
        <f t="shared" si="124"/>
        <v>0</v>
      </c>
      <c r="J2048">
        <f t="shared" si="125"/>
        <v>0</v>
      </c>
      <c r="K2048">
        <f t="shared" si="126"/>
        <v>-2659.0612666744933</v>
      </c>
      <c r="L2048">
        <f t="shared" si="127"/>
        <v>0</v>
      </c>
    </row>
    <row r="2049" spans="1:12" x14ac:dyDescent="0.35">
      <c r="A2049" s="1" t="s">
        <v>65</v>
      </c>
      <c r="B2049">
        <v>0.21199999999999999</v>
      </c>
      <c r="C2049">
        <v>0</v>
      </c>
      <c r="D2049">
        <v>2.47240752</v>
      </c>
      <c r="E2049">
        <v>0</v>
      </c>
      <c r="F2049">
        <v>0</v>
      </c>
      <c r="G2049">
        <v>1033.9668999999999</v>
      </c>
      <c r="I2049">
        <f t="shared" si="124"/>
        <v>0</v>
      </c>
      <c r="J2049">
        <f t="shared" si="125"/>
        <v>49.48238246273813</v>
      </c>
      <c r="K2049">
        <f t="shared" si="126"/>
        <v>0</v>
      </c>
      <c r="L2049">
        <f t="shared" si="127"/>
        <v>0</v>
      </c>
    </row>
    <row r="2050" spans="1:12" x14ac:dyDescent="0.35">
      <c r="A2050" s="1" t="s">
        <v>66</v>
      </c>
      <c r="B2050">
        <v>0.1</v>
      </c>
      <c r="C2050">
        <v>0</v>
      </c>
      <c r="D2050">
        <v>0</v>
      </c>
      <c r="E2050">
        <v>172.62799999999999</v>
      </c>
      <c r="F2050">
        <v>0</v>
      </c>
      <c r="G2050">
        <v>1034.1419000000001</v>
      </c>
      <c r="I2050">
        <f t="shared" si="124"/>
        <v>0</v>
      </c>
      <c r="J2050">
        <f t="shared" si="125"/>
        <v>0</v>
      </c>
      <c r="K2050">
        <f t="shared" si="126"/>
        <v>3454.9501450220296</v>
      </c>
      <c r="L2050">
        <f t="shared" si="127"/>
        <v>0</v>
      </c>
    </row>
    <row r="2051" spans="1:12" x14ac:dyDescent="0.35">
      <c r="A2051" s="1" t="s">
        <v>66</v>
      </c>
      <c r="B2051">
        <v>0.1</v>
      </c>
      <c r="C2051">
        <v>0</v>
      </c>
      <c r="D2051">
        <v>0</v>
      </c>
      <c r="E2051">
        <v>172.62799999999999</v>
      </c>
      <c r="F2051">
        <v>0</v>
      </c>
      <c r="G2051">
        <f>0.1+1034.1419</f>
        <v>1034.2419</v>
      </c>
      <c r="I2051">
        <f t="shared" si="124"/>
        <v>0</v>
      </c>
      <c r="J2051">
        <f t="shared" si="125"/>
        <v>0</v>
      </c>
      <c r="K2051">
        <f t="shared" si="126"/>
        <v>3454.9501450220296</v>
      </c>
      <c r="L2051">
        <f t="shared" si="127"/>
        <v>0</v>
      </c>
    </row>
    <row r="2052" spans="1:12" x14ac:dyDescent="0.35">
      <c r="A2052" s="1" t="s">
        <v>67</v>
      </c>
      <c r="B2052">
        <v>0.21199999999999999</v>
      </c>
      <c r="C2052">
        <v>0</v>
      </c>
      <c r="D2052">
        <v>2.47240752</v>
      </c>
      <c r="E2052">
        <v>0</v>
      </c>
      <c r="F2052">
        <v>0</v>
      </c>
      <c r="G2052">
        <v>1034.5289</v>
      </c>
      <c r="I2052">
        <f t="shared" ref="I2052:I2115" si="128">$H$2*$C2052/$B2052</f>
        <v>0</v>
      </c>
      <c r="J2052">
        <f t="shared" ref="J2052:J2115" si="129">$H$2*$D2052</f>
        <v>49.48238246273813</v>
      </c>
      <c r="K2052">
        <f t="shared" ref="K2052:K2115" si="130">$H$2*$E2052</f>
        <v>0</v>
      </c>
      <c r="L2052">
        <f t="shared" ref="L2052:L2115" si="131">$H$2*$F2052</f>
        <v>0</v>
      </c>
    </row>
    <row r="2053" spans="1:12" x14ac:dyDescent="0.35">
      <c r="A2053" s="1" t="s">
        <v>68</v>
      </c>
      <c r="B2053">
        <v>0.09</v>
      </c>
      <c r="C2053">
        <v>0</v>
      </c>
      <c r="D2053">
        <v>0</v>
      </c>
      <c r="E2053">
        <v>0</v>
      </c>
      <c r="F2053">
        <v>-13632</v>
      </c>
      <c r="G2053">
        <v>1034.6789000000001</v>
      </c>
      <c r="I2053">
        <f t="shared" si="128"/>
        <v>0</v>
      </c>
      <c r="J2053">
        <f t="shared" si="129"/>
        <v>0</v>
      </c>
      <c r="K2053">
        <f t="shared" si="130"/>
        <v>0</v>
      </c>
      <c r="L2053">
        <f t="shared" si="131"/>
        <v>-272828.74375501258</v>
      </c>
    </row>
    <row r="2054" spans="1:12" x14ac:dyDescent="0.35">
      <c r="A2054" s="1" t="s">
        <v>69</v>
      </c>
      <c r="B2054">
        <v>0.16600000000000001</v>
      </c>
      <c r="C2054">
        <v>0</v>
      </c>
      <c r="D2054">
        <v>0</v>
      </c>
      <c r="E2054">
        <v>-202.23429300000001</v>
      </c>
      <c r="F2054">
        <v>0</v>
      </c>
      <c r="G2054">
        <v>1035.2958000000001</v>
      </c>
      <c r="I2054">
        <f t="shared" si="128"/>
        <v>0</v>
      </c>
      <c r="J2054">
        <f t="shared" si="129"/>
        <v>0</v>
      </c>
      <c r="K2054">
        <f t="shared" si="130"/>
        <v>-4047.4859230760812</v>
      </c>
      <c r="L2054">
        <f t="shared" si="131"/>
        <v>0</v>
      </c>
    </row>
    <row r="2055" spans="1:12" x14ac:dyDescent="0.35">
      <c r="A2055" s="1" t="s">
        <v>70</v>
      </c>
      <c r="B2055">
        <v>0.21199999999999999</v>
      </c>
      <c r="C2055">
        <v>0</v>
      </c>
      <c r="D2055">
        <v>-2.53358734</v>
      </c>
      <c r="E2055">
        <v>0</v>
      </c>
      <c r="F2055">
        <v>0</v>
      </c>
      <c r="G2055">
        <v>1035.5827999999999</v>
      </c>
      <c r="I2055">
        <f t="shared" si="128"/>
        <v>0</v>
      </c>
      <c r="J2055">
        <f t="shared" si="129"/>
        <v>-50.706825936458621</v>
      </c>
      <c r="K2055">
        <f t="shared" si="130"/>
        <v>0</v>
      </c>
      <c r="L2055">
        <f t="shared" si="131"/>
        <v>0</v>
      </c>
    </row>
    <row r="2056" spans="1:12" x14ac:dyDescent="0.35">
      <c r="A2056" s="1" t="s">
        <v>20</v>
      </c>
      <c r="B2056">
        <v>0.41782794400000001</v>
      </c>
      <c r="C2056">
        <v>2.3392E-3</v>
      </c>
      <c r="D2056">
        <v>0</v>
      </c>
      <c r="E2056">
        <v>0</v>
      </c>
      <c r="F2056">
        <v>0</v>
      </c>
      <c r="G2056">
        <v>1036.0476000000001</v>
      </c>
      <c r="I2056">
        <f t="shared" si="128"/>
        <v>0.11204704805350077</v>
      </c>
      <c r="J2056">
        <f t="shared" si="129"/>
        <v>0</v>
      </c>
      <c r="K2056">
        <f t="shared" si="130"/>
        <v>0</v>
      </c>
      <c r="L2056">
        <f t="shared" si="131"/>
        <v>0</v>
      </c>
    </row>
    <row r="2057" spans="1:12" x14ac:dyDescent="0.35">
      <c r="A2057" s="1" t="s">
        <v>21</v>
      </c>
      <c r="B2057">
        <v>0.41782808399999999</v>
      </c>
      <c r="C2057">
        <v>3.2192000000000002E-3</v>
      </c>
      <c r="D2057">
        <v>0</v>
      </c>
      <c r="E2057">
        <v>0</v>
      </c>
      <c r="F2057">
        <v>0</v>
      </c>
      <c r="G2057">
        <v>1036.4655</v>
      </c>
      <c r="I2057">
        <f t="shared" si="128"/>
        <v>0.15419875865034546</v>
      </c>
      <c r="J2057">
        <f t="shared" si="129"/>
        <v>0</v>
      </c>
      <c r="K2057">
        <f t="shared" si="130"/>
        <v>0</v>
      </c>
      <c r="L2057">
        <f t="shared" si="131"/>
        <v>0</v>
      </c>
    </row>
    <row r="2058" spans="1:12" x14ac:dyDescent="0.35">
      <c r="A2058" s="1" t="s">
        <v>22</v>
      </c>
      <c r="B2058">
        <v>0.41782827500000003</v>
      </c>
      <c r="C2058">
        <v>4.1392E-3</v>
      </c>
      <c r="D2058">
        <v>0</v>
      </c>
      <c r="E2058">
        <v>0</v>
      </c>
      <c r="F2058">
        <v>0</v>
      </c>
      <c r="G2058">
        <v>1036.8833</v>
      </c>
      <c r="I2058">
        <f t="shared" si="128"/>
        <v>0.19826640470947862</v>
      </c>
      <c r="J2058">
        <f t="shared" si="129"/>
        <v>0</v>
      </c>
      <c r="K2058">
        <f t="shared" si="130"/>
        <v>0</v>
      </c>
      <c r="L2058">
        <f t="shared" si="131"/>
        <v>0</v>
      </c>
    </row>
    <row r="2059" spans="1:12" x14ac:dyDescent="0.35">
      <c r="A2059" s="1" t="s">
        <v>23</v>
      </c>
      <c r="B2059">
        <v>0.41782864199999997</v>
      </c>
      <c r="C2059">
        <v>5.4992000000000001E-3</v>
      </c>
      <c r="D2059">
        <v>0</v>
      </c>
      <c r="E2059">
        <v>0</v>
      </c>
      <c r="F2059">
        <v>0</v>
      </c>
      <c r="G2059">
        <v>1037.3010999999999</v>
      </c>
      <c r="I2059">
        <f t="shared" si="128"/>
        <v>0.26340975432619773</v>
      </c>
      <c r="J2059">
        <f t="shared" si="129"/>
        <v>0</v>
      </c>
      <c r="K2059">
        <f t="shared" si="130"/>
        <v>0</v>
      </c>
      <c r="L2059">
        <f t="shared" si="131"/>
        <v>0</v>
      </c>
    </row>
    <row r="2060" spans="1:12" x14ac:dyDescent="0.35">
      <c r="A2060" s="1" t="s">
        <v>24</v>
      </c>
      <c r="B2060">
        <v>0.41782941899999998</v>
      </c>
      <c r="C2060">
        <v>7.6290999999999998E-3</v>
      </c>
      <c r="D2060">
        <v>0</v>
      </c>
      <c r="E2060">
        <v>0</v>
      </c>
      <c r="F2060">
        <v>0</v>
      </c>
      <c r="G2060">
        <v>1037.7189000000001</v>
      </c>
      <c r="I2060">
        <f t="shared" si="128"/>
        <v>0.36543053893202671</v>
      </c>
      <c r="J2060">
        <f t="shared" si="129"/>
        <v>0</v>
      </c>
      <c r="K2060">
        <f t="shared" si="130"/>
        <v>0</v>
      </c>
      <c r="L2060">
        <f t="shared" si="131"/>
        <v>0</v>
      </c>
    </row>
    <row r="2061" spans="1:12" x14ac:dyDescent="0.35">
      <c r="A2061" s="1" t="s">
        <v>71</v>
      </c>
      <c r="B2061">
        <v>0.3745</v>
      </c>
      <c r="C2061">
        <v>0</v>
      </c>
      <c r="D2061">
        <v>4.5116622</v>
      </c>
      <c r="E2061">
        <v>0</v>
      </c>
      <c r="F2061">
        <v>0</v>
      </c>
      <c r="G2061">
        <v>1038.2434000000001</v>
      </c>
      <c r="I2061">
        <f t="shared" si="128"/>
        <v>0</v>
      </c>
      <c r="J2061">
        <f t="shared" si="129"/>
        <v>90.29571084748946</v>
      </c>
      <c r="K2061">
        <f t="shared" si="130"/>
        <v>0</v>
      </c>
      <c r="L2061">
        <f t="shared" si="131"/>
        <v>0</v>
      </c>
    </row>
    <row r="2062" spans="1:12" x14ac:dyDescent="0.35">
      <c r="A2062" s="1" t="s">
        <v>72</v>
      </c>
      <c r="B2062">
        <v>1.0280365199999999</v>
      </c>
      <c r="C2062">
        <v>2.4767999999999998E-2</v>
      </c>
      <c r="D2062">
        <v>-1.929</v>
      </c>
      <c r="E2062">
        <v>0</v>
      </c>
      <c r="F2062">
        <v>0</v>
      </c>
      <c r="G2062">
        <v>1039.3615</v>
      </c>
      <c r="I2062">
        <f t="shared" si="128"/>
        <v>0.48218416286837618</v>
      </c>
      <c r="J2062">
        <f t="shared" si="129"/>
        <v>-38.606708238220314</v>
      </c>
      <c r="K2062">
        <f t="shared" si="130"/>
        <v>0</v>
      </c>
      <c r="L2062">
        <f t="shared" si="131"/>
        <v>0</v>
      </c>
    </row>
    <row r="2063" spans="1:12" x14ac:dyDescent="0.35">
      <c r="A2063" s="1" t="s">
        <v>73</v>
      </c>
      <c r="B2063">
        <v>0.4975</v>
      </c>
      <c r="C2063">
        <v>0</v>
      </c>
      <c r="D2063">
        <v>4.61414189</v>
      </c>
      <c r="E2063">
        <v>0</v>
      </c>
      <c r="F2063">
        <v>0</v>
      </c>
      <c r="G2063">
        <v>1039.9490000000001</v>
      </c>
      <c r="I2063">
        <f t="shared" si="128"/>
        <v>0</v>
      </c>
      <c r="J2063">
        <f t="shared" si="129"/>
        <v>92.346723544313335</v>
      </c>
      <c r="K2063">
        <f t="shared" si="130"/>
        <v>0</v>
      </c>
      <c r="L2063">
        <f t="shared" si="131"/>
        <v>0</v>
      </c>
    </row>
    <row r="2064" spans="1:12" x14ac:dyDescent="0.35">
      <c r="A2064" s="1" t="s">
        <v>28</v>
      </c>
      <c r="B2064">
        <v>0.1</v>
      </c>
      <c r="C2064">
        <v>0</v>
      </c>
      <c r="D2064">
        <v>0</v>
      </c>
      <c r="E2064">
        <v>0</v>
      </c>
      <c r="F2064">
        <v>0</v>
      </c>
      <c r="G2064">
        <v>1040.1201000000001</v>
      </c>
      <c r="I2064">
        <f t="shared" si="128"/>
        <v>0</v>
      </c>
      <c r="J2064">
        <f t="shared" si="129"/>
        <v>0</v>
      </c>
      <c r="K2064">
        <f t="shared" si="130"/>
        <v>0</v>
      </c>
      <c r="L2064">
        <f t="shared" si="131"/>
        <v>0</v>
      </c>
    </row>
    <row r="2065" spans="1:12" x14ac:dyDescent="0.35">
      <c r="A2065" s="1" t="s">
        <v>74</v>
      </c>
      <c r="B2065">
        <v>0.40000102700000001</v>
      </c>
      <c r="C2065">
        <v>5.2300999999999997E-3</v>
      </c>
      <c r="D2065">
        <v>-1.5815999999999999</v>
      </c>
      <c r="E2065">
        <v>0</v>
      </c>
      <c r="F2065">
        <v>0</v>
      </c>
      <c r="G2065">
        <v>1040.6131</v>
      </c>
      <c r="I2065">
        <f t="shared" si="128"/>
        <v>0.26168536331815889</v>
      </c>
      <c r="J2065">
        <f t="shared" si="129"/>
        <v>-31.653898263125576</v>
      </c>
      <c r="K2065">
        <f t="shared" si="130"/>
        <v>0</v>
      </c>
      <c r="L2065">
        <f t="shared" si="131"/>
        <v>0</v>
      </c>
    </row>
    <row r="2066" spans="1:12" x14ac:dyDescent="0.35">
      <c r="A2066" s="1" t="s">
        <v>30</v>
      </c>
      <c r="B2066">
        <v>2.44294E-2</v>
      </c>
      <c r="C2066">
        <v>1.0499000000000001E-3</v>
      </c>
      <c r="D2066">
        <v>0</v>
      </c>
      <c r="E2066">
        <v>0</v>
      </c>
      <c r="F2066">
        <v>0</v>
      </c>
      <c r="G2066">
        <v>1040.7080000000001</v>
      </c>
      <c r="I2066">
        <f t="shared" si="128"/>
        <v>0.8601331402616047</v>
      </c>
      <c r="J2066">
        <f t="shared" si="129"/>
        <v>0</v>
      </c>
      <c r="K2066">
        <f t="shared" si="130"/>
        <v>0</v>
      </c>
      <c r="L2066">
        <f t="shared" si="131"/>
        <v>0</v>
      </c>
    </row>
    <row r="2067" spans="1:12" x14ac:dyDescent="0.35">
      <c r="A2067" s="1" t="s">
        <v>30</v>
      </c>
      <c r="B2067">
        <v>2.44294E-2</v>
      </c>
      <c r="C2067">
        <v>1.0499000000000001E-3</v>
      </c>
      <c r="D2067">
        <v>0</v>
      </c>
      <c r="E2067">
        <v>0</v>
      </c>
      <c r="F2067">
        <v>0</v>
      </c>
      <c r="G2067">
        <f>1040.708+0.0244294</f>
        <v>1040.7324294</v>
      </c>
      <c r="I2067">
        <f t="shared" si="128"/>
        <v>0.8601331402616047</v>
      </c>
      <c r="J2067">
        <f t="shared" si="129"/>
        <v>0</v>
      </c>
      <c r="K2067">
        <f t="shared" si="130"/>
        <v>0</v>
      </c>
      <c r="L2067">
        <f t="shared" si="131"/>
        <v>0</v>
      </c>
    </row>
    <row r="2068" spans="1:12" x14ac:dyDescent="0.35">
      <c r="A2068" s="1" t="s">
        <v>75</v>
      </c>
      <c r="B2068">
        <v>0.40000102700000001</v>
      </c>
      <c r="C2068">
        <v>5.2300999999999997E-3</v>
      </c>
      <c r="D2068">
        <v>-1.5815999999999999</v>
      </c>
      <c r="E2068">
        <v>0</v>
      </c>
      <c r="F2068">
        <v>0</v>
      </c>
      <c r="G2068">
        <v>1041.2029</v>
      </c>
      <c r="I2068">
        <f t="shared" si="128"/>
        <v>0.26168536331815889</v>
      </c>
      <c r="J2068">
        <f t="shared" si="129"/>
        <v>-31.653898263125576</v>
      </c>
      <c r="K2068">
        <f t="shared" si="130"/>
        <v>0</v>
      </c>
      <c r="L2068">
        <f t="shared" si="131"/>
        <v>0</v>
      </c>
    </row>
    <row r="2069" spans="1:12" x14ac:dyDescent="0.35">
      <c r="A2069" s="1" t="s">
        <v>76</v>
      </c>
      <c r="B2069">
        <v>0.4975</v>
      </c>
      <c r="C2069">
        <v>0</v>
      </c>
      <c r="D2069">
        <v>4.61414189</v>
      </c>
      <c r="E2069">
        <v>0</v>
      </c>
      <c r="F2069">
        <v>0</v>
      </c>
      <c r="G2069">
        <v>1041.9645</v>
      </c>
      <c r="I2069">
        <f t="shared" si="128"/>
        <v>0</v>
      </c>
      <c r="J2069">
        <f t="shared" si="129"/>
        <v>92.346723544313335</v>
      </c>
      <c r="K2069">
        <f t="shared" si="130"/>
        <v>0</v>
      </c>
      <c r="L2069">
        <f t="shared" si="131"/>
        <v>0</v>
      </c>
    </row>
    <row r="2070" spans="1:12" x14ac:dyDescent="0.35">
      <c r="A2070" s="1" t="s">
        <v>77</v>
      </c>
      <c r="B2070">
        <v>1.0280365199999999</v>
      </c>
      <c r="C2070">
        <v>2.4767999999999998E-2</v>
      </c>
      <c r="D2070">
        <v>-1.929</v>
      </c>
      <c r="E2070">
        <v>0</v>
      </c>
      <c r="F2070">
        <v>0</v>
      </c>
      <c r="G2070">
        <v>1043.0825</v>
      </c>
      <c r="I2070">
        <f t="shared" si="128"/>
        <v>0.48218416286837618</v>
      </c>
      <c r="J2070">
        <f t="shared" si="129"/>
        <v>-38.606708238220314</v>
      </c>
      <c r="K2070">
        <f t="shared" si="130"/>
        <v>0</v>
      </c>
      <c r="L2070">
        <f t="shared" si="131"/>
        <v>0</v>
      </c>
    </row>
    <row r="2071" spans="1:12" x14ac:dyDescent="0.35">
      <c r="A2071" s="1" t="s">
        <v>78</v>
      </c>
      <c r="B2071">
        <v>0.3745</v>
      </c>
      <c r="C2071">
        <v>0</v>
      </c>
      <c r="D2071">
        <v>4.5116622</v>
      </c>
      <c r="E2071">
        <v>0</v>
      </c>
      <c r="F2071">
        <v>0</v>
      </c>
      <c r="G2071">
        <v>1043.547</v>
      </c>
      <c r="I2071">
        <f t="shared" si="128"/>
        <v>0</v>
      </c>
      <c r="J2071">
        <f t="shared" si="129"/>
        <v>90.29571084748946</v>
      </c>
      <c r="K2071">
        <f t="shared" si="130"/>
        <v>0</v>
      </c>
      <c r="L2071">
        <f t="shared" si="131"/>
        <v>0</v>
      </c>
    </row>
    <row r="2072" spans="1:12" x14ac:dyDescent="0.35">
      <c r="A2072" s="1" t="s">
        <v>35</v>
      </c>
      <c r="B2072">
        <v>0.41782941899999998</v>
      </c>
      <c r="C2072">
        <v>7.6290999999999998E-3</v>
      </c>
      <c r="D2072">
        <v>0</v>
      </c>
      <c r="E2072">
        <v>0</v>
      </c>
      <c r="F2072">
        <v>0</v>
      </c>
      <c r="G2072">
        <v>1044.1149</v>
      </c>
      <c r="I2072">
        <f t="shared" si="128"/>
        <v>0.36543053893202671</v>
      </c>
      <c r="J2072">
        <f t="shared" si="129"/>
        <v>0</v>
      </c>
      <c r="K2072">
        <f t="shared" si="130"/>
        <v>0</v>
      </c>
      <c r="L2072">
        <f t="shared" si="131"/>
        <v>0</v>
      </c>
    </row>
    <row r="2073" spans="1:12" x14ac:dyDescent="0.35">
      <c r="A2073" s="1" t="s">
        <v>36</v>
      </c>
      <c r="B2073">
        <v>0.41782864199999997</v>
      </c>
      <c r="C2073">
        <v>5.4992000000000001E-3</v>
      </c>
      <c r="D2073">
        <v>0</v>
      </c>
      <c r="E2073">
        <v>0</v>
      </c>
      <c r="F2073">
        <v>0</v>
      </c>
      <c r="G2073">
        <v>1044.5327</v>
      </c>
      <c r="I2073">
        <f t="shared" si="128"/>
        <v>0.26340975432619773</v>
      </c>
      <c r="J2073">
        <f t="shared" si="129"/>
        <v>0</v>
      </c>
      <c r="K2073">
        <f t="shared" si="130"/>
        <v>0</v>
      </c>
      <c r="L2073">
        <f t="shared" si="131"/>
        <v>0</v>
      </c>
    </row>
    <row r="2074" spans="1:12" x14ac:dyDescent="0.35">
      <c r="A2074" s="1" t="s">
        <v>37</v>
      </c>
      <c r="B2074">
        <v>0.41782827500000003</v>
      </c>
      <c r="C2074">
        <v>4.1392E-3</v>
      </c>
      <c r="D2074">
        <v>0</v>
      </c>
      <c r="E2074">
        <v>0</v>
      </c>
      <c r="F2074">
        <v>0</v>
      </c>
      <c r="G2074">
        <v>1044.9504999999999</v>
      </c>
      <c r="I2074">
        <f t="shared" si="128"/>
        <v>0.19826640470947862</v>
      </c>
      <c r="J2074">
        <f t="shared" si="129"/>
        <v>0</v>
      </c>
      <c r="K2074">
        <f t="shared" si="130"/>
        <v>0</v>
      </c>
      <c r="L2074">
        <f t="shared" si="131"/>
        <v>0</v>
      </c>
    </row>
    <row r="2075" spans="1:12" x14ac:dyDescent="0.35">
      <c r="A2075" s="1" t="s">
        <v>38</v>
      </c>
      <c r="B2075">
        <v>0.41782808399999999</v>
      </c>
      <c r="C2075">
        <v>3.2192000000000002E-3</v>
      </c>
      <c r="D2075">
        <v>0</v>
      </c>
      <c r="E2075">
        <v>0</v>
      </c>
      <c r="F2075">
        <v>0</v>
      </c>
      <c r="G2075">
        <v>1045.3683000000001</v>
      </c>
      <c r="I2075">
        <f t="shared" si="128"/>
        <v>0.15419875865034546</v>
      </c>
      <c r="J2075">
        <f t="shared" si="129"/>
        <v>0</v>
      </c>
      <c r="K2075">
        <f t="shared" si="130"/>
        <v>0</v>
      </c>
      <c r="L2075">
        <f t="shared" si="131"/>
        <v>0</v>
      </c>
    </row>
    <row r="2076" spans="1:12" x14ac:dyDescent="0.35">
      <c r="A2076" s="1" t="s">
        <v>39</v>
      </c>
      <c r="B2076">
        <v>0.41782794400000001</v>
      </c>
      <c r="C2076">
        <v>2.3392E-3</v>
      </c>
      <c r="D2076">
        <v>0</v>
      </c>
      <c r="E2076">
        <v>0</v>
      </c>
      <c r="F2076">
        <v>0</v>
      </c>
      <c r="G2076">
        <v>1045.7862</v>
      </c>
      <c r="I2076">
        <f t="shared" si="128"/>
        <v>0.11204704805350077</v>
      </c>
      <c r="J2076">
        <f t="shared" si="129"/>
        <v>0</v>
      </c>
      <c r="K2076">
        <f t="shared" si="130"/>
        <v>0</v>
      </c>
      <c r="L2076">
        <f t="shared" si="131"/>
        <v>0</v>
      </c>
    </row>
    <row r="2077" spans="1:12" x14ac:dyDescent="0.35">
      <c r="A2077" s="1" t="s">
        <v>79</v>
      </c>
      <c r="B2077">
        <v>0.21199999999999999</v>
      </c>
      <c r="C2077">
        <v>0</v>
      </c>
      <c r="D2077">
        <v>-2.53358734</v>
      </c>
      <c r="E2077">
        <v>0</v>
      </c>
      <c r="F2077">
        <v>0</v>
      </c>
      <c r="G2077">
        <v>1046.0452</v>
      </c>
      <c r="I2077">
        <f t="shared" si="128"/>
        <v>0</v>
      </c>
      <c r="J2077">
        <f t="shared" si="129"/>
        <v>-50.706825936458621</v>
      </c>
      <c r="K2077">
        <f t="shared" si="130"/>
        <v>0</v>
      </c>
      <c r="L2077">
        <f t="shared" si="131"/>
        <v>0</v>
      </c>
    </row>
    <row r="2078" spans="1:12" x14ac:dyDescent="0.35">
      <c r="A2078" s="1" t="s">
        <v>80</v>
      </c>
      <c r="B2078">
        <v>0.16600000000000001</v>
      </c>
      <c r="C2078">
        <v>0</v>
      </c>
      <c r="D2078">
        <v>0</v>
      </c>
      <c r="E2078">
        <v>-202.23429300000001</v>
      </c>
      <c r="F2078">
        <v>0</v>
      </c>
      <c r="G2078">
        <v>1046.2862</v>
      </c>
      <c r="I2078">
        <f t="shared" si="128"/>
        <v>0</v>
      </c>
      <c r="J2078">
        <f t="shared" si="129"/>
        <v>0</v>
      </c>
      <c r="K2078">
        <f t="shared" si="130"/>
        <v>-4047.4859230760812</v>
      </c>
      <c r="L2078">
        <f t="shared" si="131"/>
        <v>0</v>
      </c>
    </row>
    <row r="2079" spans="1:12" x14ac:dyDescent="0.35">
      <c r="A2079" s="1" t="s">
        <v>81</v>
      </c>
      <c r="B2079">
        <v>0.09</v>
      </c>
      <c r="C2079">
        <v>0</v>
      </c>
      <c r="D2079">
        <v>0</v>
      </c>
      <c r="E2079">
        <v>0</v>
      </c>
      <c r="F2079">
        <v>-13632</v>
      </c>
      <c r="G2079">
        <v>1046.827</v>
      </c>
      <c r="I2079">
        <f t="shared" si="128"/>
        <v>0</v>
      </c>
      <c r="J2079">
        <f t="shared" si="129"/>
        <v>0</v>
      </c>
      <c r="K2079">
        <f t="shared" si="130"/>
        <v>0</v>
      </c>
      <c r="L2079">
        <f t="shared" si="131"/>
        <v>-272828.74375501258</v>
      </c>
    </row>
    <row r="2080" spans="1:12" x14ac:dyDescent="0.35">
      <c r="A2080" s="1" t="s">
        <v>82</v>
      </c>
      <c r="B2080">
        <v>0.21199999999999999</v>
      </c>
      <c r="C2080">
        <v>0</v>
      </c>
      <c r="D2080">
        <v>2.47240752</v>
      </c>
      <c r="E2080">
        <v>0</v>
      </c>
      <c r="F2080">
        <v>0</v>
      </c>
      <c r="G2080">
        <v>1047.0989999999999</v>
      </c>
      <c r="I2080">
        <f t="shared" si="128"/>
        <v>0</v>
      </c>
      <c r="J2080">
        <f t="shared" si="129"/>
        <v>49.48238246273813</v>
      </c>
      <c r="K2080">
        <f t="shared" si="130"/>
        <v>0</v>
      </c>
      <c r="L2080">
        <f t="shared" si="131"/>
        <v>0</v>
      </c>
    </row>
    <row r="2081" spans="1:12" x14ac:dyDescent="0.35">
      <c r="A2081" s="1" t="s">
        <v>83</v>
      </c>
      <c r="B2081">
        <v>0.1</v>
      </c>
      <c r="C2081">
        <v>0</v>
      </c>
      <c r="D2081">
        <v>0</v>
      </c>
      <c r="E2081">
        <v>172.62799999999999</v>
      </c>
      <c r="F2081">
        <v>0</v>
      </c>
      <c r="G2081">
        <v>1047.2739999999999</v>
      </c>
      <c r="I2081">
        <f t="shared" si="128"/>
        <v>0</v>
      </c>
      <c r="J2081">
        <f t="shared" si="129"/>
        <v>0</v>
      </c>
      <c r="K2081">
        <f t="shared" si="130"/>
        <v>3454.9501450220296</v>
      </c>
      <c r="L2081">
        <f t="shared" si="131"/>
        <v>0</v>
      </c>
    </row>
    <row r="2082" spans="1:12" x14ac:dyDescent="0.35">
      <c r="A2082" s="1" t="s">
        <v>83</v>
      </c>
      <c r="B2082">
        <v>0.1</v>
      </c>
      <c r="C2082">
        <v>0</v>
      </c>
      <c r="D2082">
        <v>0</v>
      </c>
      <c r="E2082">
        <v>172.62799999999999</v>
      </c>
      <c r="F2082">
        <v>0</v>
      </c>
      <c r="G2082">
        <f>0.1+1047.274</f>
        <v>1047.3739999999998</v>
      </c>
      <c r="I2082">
        <f t="shared" si="128"/>
        <v>0</v>
      </c>
      <c r="J2082">
        <f t="shared" si="129"/>
        <v>0</v>
      </c>
      <c r="K2082">
        <f t="shared" si="130"/>
        <v>3454.9501450220296</v>
      </c>
      <c r="L2082">
        <f t="shared" si="131"/>
        <v>0</v>
      </c>
    </row>
    <row r="2083" spans="1:12" x14ac:dyDescent="0.35">
      <c r="A2083" s="1" t="s">
        <v>84</v>
      </c>
      <c r="B2083">
        <v>0.21199999999999999</v>
      </c>
      <c r="C2083">
        <v>0</v>
      </c>
      <c r="D2083">
        <v>2.47240752</v>
      </c>
      <c r="E2083">
        <v>0</v>
      </c>
      <c r="F2083">
        <v>0</v>
      </c>
      <c r="G2083">
        <v>1047.6610000000001</v>
      </c>
      <c r="I2083">
        <f t="shared" si="128"/>
        <v>0</v>
      </c>
      <c r="J2083">
        <f t="shared" si="129"/>
        <v>49.48238246273813</v>
      </c>
      <c r="K2083">
        <f t="shared" si="130"/>
        <v>0</v>
      </c>
      <c r="L2083">
        <f t="shared" si="131"/>
        <v>0</v>
      </c>
    </row>
    <row r="2084" spans="1:12" x14ac:dyDescent="0.35">
      <c r="A2084" s="1" t="s">
        <v>85</v>
      </c>
      <c r="B2084">
        <v>0.16600000000000001</v>
      </c>
      <c r="C2084">
        <v>0</v>
      </c>
      <c r="D2084">
        <v>0</v>
      </c>
      <c r="E2084">
        <v>-132.861086</v>
      </c>
      <c r="F2084">
        <v>0</v>
      </c>
      <c r="G2084">
        <v>1048.4278999999999</v>
      </c>
      <c r="I2084">
        <f t="shared" si="128"/>
        <v>0</v>
      </c>
      <c r="J2084">
        <f t="shared" si="129"/>
        <v>0</v>
      </c>
      <c r="K2084">
        <f t="shared" si="130"/>
        <v>-2659.0612666744933</v>
      </c>
      <c r="L2084">
        <f t="shared" si="131"/>
        <v>0</v>
      </c>
    </row>
    <row r="2085" spans="1:12" x14ac:dyDescent="0.35">
      <c r="A2085" s="1" t="s">
        <v>86</v>
      </c>
      <c r="B2085">
        <v>0.21199999999999999</v>
      </c>
      <c r="C2085">
        <v>0</v>
      </c>
      <c r="D2085">
        <v>-2.3709669899999999</v>
      </c>
      <c r="E2085">
        <v>0</v>
      </c>
      <c r="F2085">
        <v>0</v>
      </c>
      <c r="G2085">
        <v>1048.7148999999999</v>
      </c>
      <c r="I2085">
        <f t="shared" si="128"/>
        <v>0</v>
      </c>
      <c r="J2085">
        <f t="shared" si="129"/>
        <v>-47.452167353748784</v>
      </c>
      <c r="K2085">
        <f t="shared" si="130"/>
        <v>0</v>
      </c>
      <c r="L2085">
        <f t="shared" si="131"/>
        <v>0</v>
      </c>
    </row>
    <row r="2086" spans="1:12" x14ac:dyDescent="0.35">
      <c r="A2086" s="1" t="s">
        <v>48</v>
      </c>
      <c r="B2086">
        <v>0.41782794400000001</v>
      </c>
      <c r="C2086">
        <v>2.3392E-3</v>
      </c>
      <c r="D2086">
        <v>0</v>
      </c>
      <c r="E2086">
        <v>0</v>
      </c>
      <c r="F2086">
        <v>0</v>
      </c>
      <c r="G2086">
        <v>1049.1796999999999</v>
      </c>
      <c r="I2086">
        <f t="shared" si="128"/>
        <v>0.11204704805350077</v>
      </c>
      <c r="J2086">
        <f t="shared" si="129"/>
        <v>0</v>
      </c>
      <c r="K2086">
        <f t="shared" si="130"/>
        <v>0</v>
      </c>
      <c r="L2086">
        <f t="shared" si="131"/>
        <v>0</v>
      </c>
    </row>
    <row r="2087" spans="1:12" x14ac:dyDescent="0.35">
      <c r="A2087" s="1" t="s">
        <v>49</v>
      </c>
      <c r="B2087">
        <v>0.41782808399999999</v>
      </c>
      <c r="C2087">
        <v>3.2192000000000002E-3</v>
      </c>
      <c r="D2087">
        <v>0</v>
      </c>
      <c r="E2087">
        <v>0</v>
      </c>
      <c r="F2087">
        <v>0</v>
      </c>
      <c r="G2087">
        <v>1049.5975000000001</v>
      </c>
      <c r="I2087">
        <f t="shared" si="128"/>
        <v>0.15419875865034546</v>
      </c>
      <c r="J2087">
        <f t="shared" si="129"/>
        <v>0</v>
      </c>
      <c r="K2087">
        <f t="shared" si="130"/>
        <v>0</v>
      </c>
      <c r="L2087">
        <f t="shared" si="131"/>
        <v>0</v>
      </c>
    </row>
    <row r="2088" spans="1:12" x14ac:dyDescent="0.35">
      <c r="A2088" s="1" t="s">
        <v>50</v>
      </c>
      <c r="B2088">
        <v>0.41782827500000003</v>
      </c>
      <c r="C2088">
        <v>4.1392E-3</v>
      </c>
      <c r="D2088">
        <v>0</v>
      </c>
      <c r="E2088">
        <v>0</v>
      </c>
      <c r="F2088">
        <v>0</v>
      </c>
      <c r="G2088">
        <v>1050.0154</v>
      </c>
      <c r="I2088">
        <f t="shared" si="128"/>
        <v>0.19826640470947862</v>
      </c>
      <c r="J2088">
        <f t="shared" si="129"/>
        <v>0</v>
      </c>
      <c r="K2088">
        <f t="shared" si="130"/>
        <v>0</v>
      </c>
      <c r="L2088">
        <f t="shared" si="131"/>
        <v>0</v>
      </c>
    </row>
    <row r="2089" spans="1:12" x14ac:dyDescent="0.35">
      <c r="A2089" s="1" t="s">
        <v>51</v>
      </c>
      <c r="B2089">
        <v>0.41782864199999997</v>
      </c>
      <c r="C2089">
        <v>5.4992000000000001E-3</v>
      </c>
      <c r="D2089">
        <v>0</v>
      </c>
      <c r="E2089">
        <v>0</v>
      </c>
      <c r="F2089">
        <v>0</v>
      </c>
      <c r="G2089">
        <v>1050.4331999999999</v>
      </c>
      <c r="I2089">
        <f t="shared" si="128"/>
        <v>0.26340975432619773</v>
      </c>
      <c r="J2089">
        <f t="shared" si="129"/>
        <v>0</v>
      </c>
      <c r="K2089">
        <f t="shared" si="130"/>
        <v>0</v>
      </c>
      <c r="L2089">
        <f t="shared" si="131"/>
        <v>0</v>
      </c>
    </row>
    <row r="2090" spans="1:12" x14ac:dyDescent="0.35">
      <c r="A2090" s="1" t="s">
        <v>52</v>
      </c>
      <c r="B2090">
        <v>0.41783028900000002</v>
      </c>
      <c r="C2090">
        <v>9.4690999999999994E-3</v>
      </c>
      <c r="D2090">
        <v>0</v>
      </c>
      <c r="E2090">
        <v>0</v>
      </c>
      <c r="F2090">
        <v>0</v>
      </c>
      <c r="G2090">
        <v>1050.8510000000001</v>
      </c>
      <c r="I2090">
        <f t="shared" si="128"/>
        <v>0.45356478630764774</v>
      </c>
      <c r="J2090">
        <f t="shared" si="129"/>
        <v>0</v>
      </c>
      <c r="K2090">
        <f t="shared" si="130"/>
        <v>0</v>
      </c>
      <c r="L2090">
        <f t="shared" si="131"/>
        <v>0</v>
      </c>
    </row>
    <row r="2091" spans="1:12" x14ac:dyDescent="0.35">
      <c r="A2091" s="1" t="s">
        <v>87</v>
      </c>
      <c r="B2091">
        <v>0.16200000000000001</v>
      </c>
      <c r="C2091">
        <v>0</v>
      </c>
      <c r="D2091">
        <v>-2.8698264299999998</v>
      </c>
      <c r="E2091">
        <v>0</v>
      </c>
      <c r="F2091">
        <v>0</v>
      </c>
      <c r="G2091">
        <v>1051.06</v>
      </c>
      <c r="I2091">
        <f t="shared" si="128"/>
        <v>0</v>
      </c>
      <c r="J2091">
        <f t="shared" si="129"/>
        <v>-57.436263181619168</v>
      </c>
      <c r="K2091">
        <f t="shared" si="130"/>
        <v>0</v>
      </c>
      <c r="L2091">
        <f t="shared" si="131"/>
        <v>0</v>
      </c>
    </row>
    <row r="2092" spans="1:12" x14ac:dyDescent="0.35">
      <c r="A2092" s="1" t="s">
        <v>54</v>
      </c>
      <c r="B2092">
        <v>0.1</v>
      </c>
      <c r="C2092">
        <v>0</v>
      </c>
      <c r="D2092">
        <v>0</v>
      </c>
      <c r="E2092">
        <v>0</v>
      </c>
      <c r="F2092">
        <v>0</v>
      </c>
      <c r="G2092">
        <v>1051.3900000000001</v>
      </c>
      <c r="I2092">
        <f t="shared" si="128"/>
        <v>0</v>
      </c>
      <c r="J2092">
        <f t="shared" si="129"/>
        <v>0</v>
      </c>
      <c r="K2092">
        <f t="shared" si="130"/>
        <v>0</v>
      </c>
      <c r="L2092">
        <f t="shared" si="131"/>
        <v>0</v>
      </c>
    </row>
    <row r="2093" spans="1:12" x14ac:dyDescent="0.35">
      <c r="A2093" s="1" t="s">
        <v>88</v>
      </c>
      <c r="B2093">
        <v>0.29499999999999998</v>
      </c>
      <c r="C2093">
        <v>0</v>
      </c>
      <c r="D2093">
        <v>2.43875777</v>
      </c>
      <c r="E2093">
        <v>0</v>
      </c>
      <c r="F2093">
        <v>0</v>
      </c>
      <c r="G2093">
        <v>1051.7950000000001</v>
      </c>
      <c r="I2093">
        <f t="shared" si="128"/>
        <v>0</v>
      </c>
      <c r="J2093">
        <f t="shared" si="129"/>
        <v>48.808921560436907</v>
      </c>
      <c r="K2093">
        <f t="shared" si="130"/>
        <v>0</v>
      </c>
      <c r="L2093">
        <f t="shared" si="131"/>
        <v>0</v>
      </c>
    </row>
    <row r="2094" spans="1:12" x14ac:dyDescent="0.35">
      <c r="A2094" s="1" t="s">
        <v>56</v>
      </c>
      <c r="B2094">
        <v>0.29499999999999998</v>
      </c>
      <c r="C2094">
        <v>0</v>
      </c>
      <c r="D2094">
        <v>2.43875777</v>
      </c>
      <c r="E2094">
        <v>0</v>
      </c>
      <c r="F2094">
        <v>0</v>
      </c>
      <c r="G2094">
        <v>1057.6682000000001</v>
      </c>
      <c r="I2094">
        <f t="shared" si="128"/>
        <v>0</v>
      </c>
      <c r="J2094">
        <f t="shared" si="129"/>
        <v>48.808921560436907</v>
      </c>
      <c r="K2094">
        <f t="shared" si="130"/>
        <v>0</v>
      </c>
      <c r="L2094">
        <f t="shared" si="131"/>
        <v>0</v>
      </c>
    </row>
    <row r="2095" spans="1:12" x14ac:dyDescent="0.35">
      <c r="A2095" s="1" t="s">
        <v>2</v>
      </c>
      <c r="B2095">
        <v>0.1</v>
      </c>
      <c r="C2095">
        <v>0</v>
      </c>
      <c r="D2095">
        <v>0</v>
      </c>
      <c r="E2095">
        <v>0</v>
      </c>
      <c r="F2095">
        <v>0</v>
      </c>
      <c r="G2095">
        <v>1057.8782000000001</v>
      </c>
      <c r="I2095">
        <f t="shared" si="128"/>
        <v>0</v>
      </c>
      <c r="J2095">
        <f t="shared" si="129"/>
        <v>0</v>
      </c>
      <c r="K2095">
        <f t="shared" si="130"/>
        <v>0</v>
      </c>
      <c r="L2095">
        <f t="shared" si="131"/>
        <v>0</v>
      </c>
    </row>
    <row r="2096" spans="1:12" x14ac:dyDescent="0.35">
      <c r="A2096" s="1" t="s">
        <v>57</v>
      </c>
      <c r="B2096">
        <v>0.16200000000000001</v>
      </c>
      <c r="C2096">
        <v>0</v>
      </c>
      <c r="D2096">
        <v>-2.8698264299999998</v>
      </c>
      <c r="E2096">
        <v>0</v>
      </c>
      <c r="F2096">
        <v>0</v>
      </c>
      <c r="G2096">
        <v>1058.2701999999999</v>
      </c>
      <c r="I2096">
        <f t="shared" si="128"/>
        <v>0</v>
      </c>
      <c r="J2096">
        <f t="shared" si="129"/>
        <v>-57.436263181619168</v>
      </c>
      <c r="K2096">
        <f t="shared" si="130"/>
        <v>0</v>
      </c>
      <c r="L2096">
        <f t="shared" si="131"/>
        <v>0</v>
      </c>
    </row>
    <row r="2097" spans="1:12" x14ac:dyDescent="0.35">
      <c r="A2097" s="1" t="s">
        <v>58</v>
      </c>
      <c r="B2097">
        <v>0.41783028900000002</v>
      </c>
      <c r="C2097">
        <v>9.4690999999999994E-3</v>
      </c>
      <c r="D2097">
        <v>0</v>
      </c>
      <c r="E2097">
        <v>0</v>
      </c>
      <c r="F2097">
        <v>0</v>
      </c>
      <c r="G2097">
        <v>1058.7349999999999</v>
      </c>
      <c r="I2097">
        <f t="shared" si="128"/>
        <v>0.45356478630764774</v>
      </c>
      <c r="J2097">
        <f t="shared" si="129"/>
        <v>0</v>
      </c>
      <c r="K2097">
        <f t="shared" si="130"/>
        <v>0</v>
      </c>
      <c r="L2097">
        <f t="shared" si="131"/>
        <v>0</v>
      </c>
    </row>
    <row r="2098" spans="1:12" x14ac:dyDescent="0.35">
      <c r="A2098" s="1" t="s">
        <v>59</v>
      </c>
      <c r="B2098">
        <v>0.41782864199999997</v>
      </c>
      <c r="C2098">
        <v>5.4992000000000001E-3</v>
      </c>
      <c r="D2098">
        <v>0</v>
      </c>
      <c r="E2098">
        <v>0</v>
      </c>
      <c r="F2098">
        <v>0</v>
      </c>
      <c r="G2098">
        <v>1059.1528000000001</v>
      </c>
      <c r="I2098">
        <f t="shared" si="128"/>
        <v>0.26340975432619773</v>
      </c>
      <c r="J2098">
        <f t="shared" si="129"/>
        <v>0</v>
      </c>
      <c r="K2098">
        <f t="shared" si="130"/>
        <v>0</v>
      </c>
      <c r="L2098">
        <f t="shared" si="131"/>
        <v>0</v>
      </c>
    </row>
    <row r="2099" spans="1:12" x14ac:dyDescent="0.35">
      <c r="A2099" s="1" t="s">
        <v>60</v>
      </c>
      <c r="B2099">
        <v>0.41782827500000003</v>
      </c>
      <c r="C2099">
        <v>4.1392E-3</v>
      </c>
      <c r="D2099">
        <v>0</v>
      </c>
      <c r="E2099">
        <v>0</v>
      </c>
      <c r="F2099">
        <v>0</v>
      </c>
      <c r="G2099">
        <v>1059.5707</v>
      </c>
      <c r="I2099">
        <f t="shared" si="128"/>
        <v>0.19826640470947862</v>
      </c>
      <c r="J2099">
        <f t="shared" si="129"/>
        <v>0</v>
      </c>
      <c r="K2099">
        <f t="shared" si="130"/>
        <v>0</v>
      </c>
      <c r="L2099">
        <f t="shared" si="131"/>
        <v>0</v>
      </c>
    </row>
    <row r="2100" spans="1:12" x14ac:dyDescent="0.35">
      <c r="A2100" s="1" t="s">
        <v>61</v>
      </c>
      <c r="B2100">
        <v>0.41782808399999999</v>
      </c>
      <c r="C2100">
        <v>3.2192000000000002E-3</v>
      </c>
      <c r="D2100">
        <v>0</v>
      </c>
      <c r="E2100">
        <v>0</v>
      </c>
      <c r="F2100">
        <v>0</v>
      </c>
      <c r="G2100">
        <v>1059.9884999999999</v>
      </c>
      <c r="I2100">
        <f t="shared" si="128"/>
        <v>0.15419875865034546</v>
      </c>
      <c r="J2100">
        <f t="shared" si="129"/>
        <v>0</v>
      </c>
      <c r="K2100">
        <f t="shared" si="130"/>
        <v>0</v>
      </c>
      <c r="L2100">
        <f t="shared" si="131"/>
        <v>0</v>
      </c>
    </row>
    <row r="2101" spans="1:12" x14ac:dyDescent="0.35">
      <c r="A2101" s="1" t="s">
        <v>62</v>
      </c>
      <c r="B2101">
        <v>0.41782794400000001</v>
      </c>
      <c r="C2101">
        <v>2.3392E-3</v>
      </c>
      <c r="D2101">
        <v>0</v>
      </c>
      <c r="E2101">
        <v>0</v>
      </c>
      <c r="F2101">
        <v>0</v>
      </c>
      <c r="G2101">
        <v>1060.4063000000001</v>
      </c>
      <c r="I2101">
        <f t="shared" si="128"/>
        <v>0.11204704805350077</v>
      </c>
      <c r="J2101">
        <f t="shared" si="129"/>
        <v>0</v>
      </c>
      <c r="K2101">
        <f t="shared" si="130"/>
        <v>0</v>
      </c>
      <c r="L2101">
        <f t="shared" si="131"/>
        <v>0</v>
      </c>
    </row>
    <row r="2102" spans="1:12" x14ac:dyDescent="0.35">
      <c r="A2102" s="1" t="s">
        <v>63</v>
      </c>
      <c r="B2102">
        <v>0.21199999999999999</v>
      </c>
      <c r="C2102">
        <v>0</v>
      </c>
      <c r="D2102">
        <v>-2.3709669899999999</v>
      </c>
      <c r="E2102">
        <v>0</v>
      </c>
      <c r="F2102">
        <v>0</v>
      </c>
      <c r="G2102">
        <v>1060.6652999999999</v>
      </c>
      <c r="I2102">
        <f t="shared" si="128"/>
        <v>0</v>
      </c>
      <c r="J2102">
        <f t="shared" si="129"/>
        <v>-47.452167353748784</v>
      </c>
      <c r="K2102">
        <f t="shared" si="130"/>
        <v>0</v>
      </c>
      <c r="L2102">
        <f t="shared" si="131"/>
        <v>0</v>
      </c>
    </row>
    <row r="2103" spans="1:12" x14ac:dyDescent="0.35">
      <c r="A2103" s="1" t="s">
        <v>64</v>
      </c>
      <c r="B2103">
        <v>0.16600000000000001</v>
      </c>
      <c r="C2103">
        <v>0</v>
      </c>
      <c r="D2103">
        <v>0</v>
      </c>
      <c r="E2103">
        <v>-132.861086</v>
      </c>
      <c r="F2103">
        <v>0</v>
      </c>
      <c r="G2103">
        <v>1060.9063000000001</v>
      </c>
      <c r="I2103">
        <f t="shared" si="128"/>
        <v>0</v>
      </c>
      <c r="J2103">
        <f t="shared" si="129"/>
        <v>0</v>
      </c>
      <c r="K2103">
        <f t="shared" si="130"/>
        <v>-2659.0612666744933</v>
      </c>
      <c r="L2103">
        <f t="shared" si="131"/>
        <v>0</v>
      </c>
    </row>
    <row r="2104" spans="1:12" x14ac:dyDescent="0.35">
      <c r="A2104" s="1" t="s">
        <v>65</v>
      </c>
      <c r="B2104">
        <v>0.21199999999999999</v>
      </c>
      <c r="C2104">
        <v>0</v>
      </c>
      <c r="D2104">
        <v>2.47240752</v>
      </c>
      <c r="E2104">
        <v>0</v>
      </c>
      <c r="F2104">
        <v>0</v>
      </c>
      <c r="G2104">
        <v>1061.7192</v>
      </c>
      <c r="I2104">
        <f t="shared" si="128"/>
        <v>0</v>
      </c>
      <c r="J2104">
        <f t="shared" si="129"/>
        <v>49.48238246273813</v>
      </c>
      <c r="K2104">
        <f t="shared" si="130"/>
        <v>0</v>
      </c>
      <c r="L2104">
        <f t="shared" si="131"/>
        <v>0</v>
      </c>
    </row>
    <row r="2105" spans="1:12" x14ac:dyDescent="0.35">
      <c r="A2105" s="1" t="s">
        <v>66</v>
      </c>
      <c r="B2105">
        <v>0.1</v>
      </c>
      <c r="C2105">
        <v>0</v>
      </c>
      <c r="D2105">
        <v>0</v>
      </c>
      <c r="E2105">
        <v>172.62799999999999</v>
      </c>
      <c r="F2105">
        <v>0</v>
      </c>
      <c r="G2105">
        <v>1061.8942</v>
      </c>
      <c r="I2105">
        <f t="shared" si="128"/>
        <v>0</v>
      </c>
      <c r="J2105">
        <f t="shared" si="129"/>
        <v>0</v>
      </c>
      <c r="K2105">
        <f t="shared" si="130"/>
        <v>3454.9501450220296</v>
      </c>
      <c r="L2105">
        <f t="shared" si="131"/>
        <v>0</v>
      </c>
    </row>
    <row r="2106" spans="1:12" x14ac:dyDescent="0.35">
      <c r="A2106" s="1" t="s">
        <v>66</v>
      </c>
      <c r="B2106">
        <v>0.1</v>
      </c>
      <c r="C2106">
        <v>0</v>
      </c>
      <c r="D2106">
        <v>0</v>
      </c>
      <c r="E2106">
        <v>172.62799999999999</v>
      </c>
      <c r="F2106">
        <v>0</v>
      </c>
      <c r="G2106">
        <f>0.1+1061.8942</f>
        <v>1061.9941999999999</v>
      </c>
      <c r="I2106">
        <f t="shared" si="128"/>
        <v>0</v>
      </c>
      <c r="J2106">
        <f t="shared" si="129"/>
        <v>0</v>
      </c>
      <c r="K2106">
        <f t="shared" si="130"/>
        <v>3454.9501450220296</v>
      </c>
      <c r="L2106">
        <f t="shared" si="131"/>
        <v>0</v>
      </c>
    </row>
    <row r="2107" spans="1:12" x14ac:dyDescent="0.35">
      <c r="A2107" s="1" t="s">
        <v>67</v>
      </c>
      <c r="B2107">
        <v>0.21199999999999999</v>
      </c>
      <c r="C2107">
        <v>0</v>
      </c>
      <c r="D2107">
        <v>2.47240752</v>
      </c>
      <c r="E2107">
        <v>0</v>
      </c>
      <c r="F2107">
        <v>0</v>
      </c>
      <c r="G2107">
        <v>1062.2811999999999</v>
      </c>
      <c r="I2107">
        <f t="shared" si="128"/>
        <v>0</v>
      </c>
      <c r="J2107">
        <f t="shared" si="129"/>
        <v>49.48238246273813</v>
      </c>
      <c r="K2107">
        <f t="shared" si="130"/>
        <v>0</v>
      </c>
      <c r="L2107">
        <f t="shared" si="131"/>
        <v>0</v>
      </c>
    </row>
    <row r="2108" spans="1:12" x14ac:dyDescent="0.35">
      <c r="A2108" s="1" t="s">
        <v>68</v>
      </c>
      <c r="B2108">
        <v>0.09</v>
      </c>
      <c r="C2108">
        <v>0</v>
      </c>
      <c r="D2108">
        <v>0</v>
      </c>
      <c r="E2108">
        <v>0</v>
      </c>
      <c r="F2108">
        <v>-13632</v>
      </c>
      <c r="G2108">
        <v>1062.4312</v>
      </c>
      <c r="I2108">
        <f t="shared" si="128"/>
        <v>0</v>
      </c>
      <c r="J2108">
        <f t="shared" si="129"/>
        <v>0</v>
      </c>
      <c r="K2108">
        <f t="shared" si="130"/>
        <v>0</v>
      </c>
      <c r="L2108">
        <f t="shared" si="131"/>
        <v>-272828.74375501258</v>
      </c>
    </row>
    <row r="2109" spans="1:12" x14ac:dyDescent="0.35">
      <c r="A2109" s="1" t="s">
        <v>69</v>
      </c>
      <c r="B2109">
        <v>0.16600000000000001</v>
      </c>
      <c r="C2109">
        <v>0</v>
      </c>
      <c r="D2109">
        <v>0</v>
      </c>
      <c r="E2109">
        <v>-202.23429300000001</v>
      </c>
      <c r="F2109">
        <v>0</v>
      </c>
      <c r="G2109">
        <v>1063.048</v>
      </c>
      <c r="I2109">
        <f t="shared" si="128"/>
        <v>0</v>
      </c>
      <c r="J2109">
        <f t="shared" si="129"/>
        <v>0</v>
      </c>
      <c r="K2109">
        <f t="shared" si="130"/>
        <v>-4047.4859230760812</v>
      </c>
      <c r="L2109">
        <f t="shared" si="131"/>
        <v>0</v>
      </c>
    </row>
    <row r="2110" spans="1:12" x14ac:dyDescent="0.35">
      <c r="A2110" s="1" t="s">
        <v>70</v>
      </c>
      <c r="B2110">
        <v>0.21199999999999999</v>
      </c>
      <c r="C2110">
        <v>0</v>
      </c>
      <c r="D2110">
        <v>-2.53358734</v>
      </c>
      <c r="E2110">
        <v>0</v>
      </c>
      <c r="F2110">
        <v>0</v>
      </c>
      <c r="G2110">
        <v>1063.335</v>
      </c>
      <c r="I2110">
        <f t="shared" si="128"/>
        <v>0</v>
      </c>
      <c r="J2110">
        <f t="shared" si="129"/>
        <v>-50.706825936458621</v>
      </c>
      <c r="K2110">
        <f t="shared" si="130"/>
        <v>0</v>
      </c>
      <c r="L2110">
        <f t="shared" si="131"/>
        <v>0</v>
      </c>
    </row>
    <row r="2111" spans="1:12" x14ac:dyDescent="0.35">
      <c r="A2111" s="1" t="s">
        <v>20</v>
      </c>
      <c r="B2111">
        <v>0.41782794400000001</v>
      </c>
      <c r="C2111">
        <v>2.3392E-3</v>
      </c>
      <c r="D2111">
        <v>0</v>
      </c>
      <c r="E2111">
        <v>0</v>
      </c>
      <c r="F2111">
        <v>0</v>
      </c>
      <c r="G2111">
        <v>1063.7998</v>
      </c>
      <c r="I2111">
        <f t="shared" si="128"/>
        <v>0.11204704805350077</v>
      </c>
      <c r="J2111">
        <f t="shared" si="129"/>
        <v>0</v>
      </c>
      <c r="K2111">
        <f t="shared" si="130"/>
        <v>0</v>
      </c>
      <c r="L2111">
        <f t="shared" si="131"/>
        <v>0</v>
      </c>
    </row>
    <row r="2112" spans="1:12" x14ac:dyDescent="0.35">
      <c r="A2112" s="1" t="s">
        <v>21</v>
      </c>
      <c r="B2112">
        <v>0.41782808399999999</v>
      </c>
      <c r="C2112">
        <v>3.2192000000000002E-3</v>
      </c>
      <c r="D2112">
        <v>0</v>
      </c>
      <c r="E2112">
        <v>0</v>
      </c>
      <c r="F2112">
        <v>0</v>
      </c>
      <c r="G2112">
        <v>1064.2176999999999</v>
      </c>
      <c r="I2112">
        <f t="shared" si="128"/>
        <v>0.15419875865034546</v>
      </c>
      <c r="J2112">
        <f t="shared" si="129"/>
        <v>0</v>
      </c>
      <c r="K2112">
        <f t="shared" si="130"/>
        <v>0</v>
      </c>
      <c r="L2112">
        <f t="shared" si="131"/>
        <v>0</v>
      </c>
    </row>
    <row r="2113" spans="1:12" x14ac:dyDescent="0.35">
      <c r="A2113" s="1" t="s">
        <v>22</v>
      </c>
      <c r="B2113">
        <v>0.41782827500000003</v>
      </c>
      <c r="C2113">
        <v>4.1392E-3</v>
      </c>
      <c r="D2113">
        <v>0</v>
      </c>
      <c r="E2113">
        <v>0</v>
      </c>
      <c r="F2113">
        <v>0</v>
      </c>
      <c r="G2113">
        <v>1064.6355000000001</v>
      </c>
      <c r="I2113">
        <f t="shared" si="128"/>
        <v>0.19826640470947862</v>
      </c>
      <c r="J2113">
        <f t="shared" si="129"/>
        <v>0</v>
      </c>
      <c r="K2113">
        <f t="shared" si="130"/>
        <v>0</v>
      </c>
      <c r="L2113">
        <f t="shared" si="131"/>
        <v>0</v>
      </c>
    </row>
    <row r="2114" spans="1:12" x14ac:dyDescent="0.35">
      <c r="A2114" s="1" t="s">
        <v>23</v>
      </c>
      <c r="B2114">
        <v>0.41782864199999997</v>
      </c>
      <c r="C2114">
        <v>5.4992000000000001E-3</v>
      </c>
      <c r="D2114">
        <v>0</v>
      </c>
      <c r="E2114">
        <v>0</v>
      </c>
      <c r="F2114">
        <v>0</v>
      </c>
      <c r="G2114">
        <v>1065.0533</v>
      </c>
      <c r="I2114">
        <f t="shared" si="128"/>
        <v>0.26340975432619773</v>
      </c>
      <c r="J2114">
        <f t="shared" si="129"/>
        <v>0</v>
      </c>
      <c r="K2114">
        <f t="shared" si="130"/>
        <v>0</v>
      </c>
      <c r="L2114">
        <f t="shared" si="131"/>
        <v>0</v>
      </c>
    </row>
    <row r="2115" spans="1:12" x14ac:dyDescent="0.35">
      <c r="A2115" s="1" t="s">
        <v>24</v>
      </c>
      <c r="B2115">
        <v>0.41782941899999998</v>
      </c>
      <c r="C2115">
        <v>7.6290999999999998E-3</v>
      </c>
      <c r="D2115">
        <v>0</v>
      </c>
      <c r="E2115">
        <v>0</v>
      </c>
      <c r="F2115">
        <v>0</v>
      </c>
      <c r="G2115">
        <v>1065.4712</v>
      </c>
      <c r="I2115">
        <f t="shared" si="128"/>
        <v>0.36543053893202671</v>
      </c>
      <c r="J2115">
        <f t="shared" si="129"/>
        <v>0</v>
      </c>
      <c r="K2115">
        <f t="shared" si="130"/>
        <v>0</v>
      </c>
      <c r="L2115">
        <f t="shared" si="131"/>
        <v>0</v>
      </c>
    </row>
    <row r="2116" spans="1:12" x14ac:dyDescent="0.35">
      <c r="A2116" s="1" t="s">
        <v>71</v>
      </c>
      <c r="B2116">
        <v>0.3745</v>
      </c>
      <c r="C2116">
        <v>0</v>
      </c>
      <c r="D2116">
        <v>4.5116622</v>
      </c>
      <c r="E2116">
        <v>0</v>
      </c>
      <c r="F2116">
        <v>0</v>
      </c>
      <c r="G2116">
        <v>1065.9956999999999</v>
      </c>
      <c r="I2116">
        <f t="shared" ref="I2116:I2179" si="132">$H$2*$C2116/$B2116</f>
        <v>0</v>
      </c>
      <c r="J2116">
        <f t="shared" ref="J2116:J2179" si="133">$H$2*$D2116</f>
        <v>90.29571084748946</v>
      </c>
      <c r="K2116">
        <f t="shared" ref="K2116:K2179" si="134">$H$2*$E2116</f>
        <v>0</v>
      </c>
      <c r="L2116">
        <f t="shared" ref="L2116:L2179" si="135">$H$2*$F2116</f>
        <v>0</v>
      </c>
    </row>
    <row r="2117" spans="1:12" x14ac:dyDescent="0.35">
      <c r="A2117" s="1" t="s">
        <v>72</v>
      </c>
      <c r="B2117">
        <v>1.0280365199999999</v>
      </c>
      <c r="C2117">
        <v>2.4767999999999998E-2</v>
      </c>
      <c r="D2117">
        <v>-1.929</v>
      </c>
      <c r="E2117">
        <v>0</v>
      </c>
      <c r="F2117">
        <v>0</v>
      </c>
      <c r="G2117">
        <v>1067.1137000000001</v>
      </c>
      <c r="I2117">
        <f t="shared" si="132"/>
        <v>0.48218416286837618</v>
      </c>
      <c r="J2117">
        <f t="shared" si="133"/>
        <v>-38.606708238220314</v>
      </c>
      <c r="K2117">
        <f t="shared" si="134"/>
        <v>0</v>
      </c>
      <c r="L2117">
        <f t="shared" si="135"/>
        <v>0</v>
      </c>
    </row>
    <row r="2118" spans="1:12" x14ac:dyDescent="0.35">
      <c r="A2118" s="1" t="s">
        <v>73</v>
      </c>
      <c r="B2118">
        <v>0.4975</v>
      </c>
      <c r="C2118">
        <v>0</v>
      </c>
      <c r="D2118">
        <v>4.61414189</v>
      </c>
      <c r="E2118">
        <v>0</v>
      </c>
      <c r="F2118">
        <v>0</v>
      </c>
      <c r="G2118">
        <v>1067.7012</v>
      </c>
      <c r="I2118">
        <f t="shared" si="132"/>
        <v>0</v>
      </c>
      <c r="J2118">
        <f t="shared" si="133"/>
        <v>92.346723544313335</v>
      </c>
      <c r="K2118">
        <f t="shared" si="134"/>
        <v>0</v>
      </c>
      <c r="L2118">
        <f t="shared" si="135"/>
        <v>0</v>
      </c>
    </row>
    <row r="2119" spans="1:12" x14ac:dyDescent="0.35">
      <c r="A2119" s="1" t="s">
        <v>28</v>
      </c>
      <c r="B2119">
        <v>0.1</v>
      </c>
      <c r="C2119">
        <v>0</v>
      </c>
      <c r="D2119">
        <v>0</v>
      </c>
      <c r="E2119">
        <v>0</v>
      </c>
      <c r="F2119">
        <v>0</v>
      </c>
      <c r="G2119">
        <v>1067.8723</v>
      </c>
      <c r="I2119">
        <f t="shared" si="132"/>
        <v>0</v>
      </c>
      <c r="J2119">
        <f t="shared" si="133"/>
        <v>0</v>
      </c>
      <c r="K2119">
        <f t="shared" si="134"/>
        <v>0</v>
      </c>
      <c r="L2119">
        <f t="shared" si="135"/>
        <v>0</v>
      </c>
    </row>
    <row r="2120" spans="1:12" x14ac:dyDescent="0.35">
      <c r="A2120" s="1" t="s">
        <v>74</v>
      </c>
      <c r="B2120">
        <v>0.40000102700000001</v>
      </c>
      <c r="C2120">
        <v>5.2300999999999997E-3</v>
      </c>
      <c r="D2120">
        <v>-1.5815999999999999</v>
      </c>
      <c r="E2120">
        <v>0</v>
      </c>
      <c r="F2120">
        <v>0</v>
      </c>
      <c r="G2120">
        <v>1068.3652999999999</v>
      </c>
      <c r="I2120">
        <f t="shared" si="132"/>
        <v>0.26168536331815889</v>
      </c>
      <c r="J2120">
        <f t="shared" si="133"/>
        <v>-31.653898263125576</v>
      </c>
      <c r="K2120">
        <f t="shared" si="134"/>
        <v>0</v>
      </c>
      <c r="L2120">
        <f t="shared" si="135"/>
        <v>0</v>
      </c>
    </row>
    <row r="2121" spans="1:12" x14ac:dyDescent="0.35">
      <c r="A2121" s="1" t="s">
        <v>30</v>
      </c>
      <c r="B2121">
        <v>2.44294E-2</v>
      </c>
      <c r="C2121">
        <v>1.0499000000000001E-3</v>
      </c>
      <c r="D2121">
        <v>0</v>
      </c>
      <c r="E2121">
        <v>0</v>
      </c>
      <c r="F2121">
        <v>0</v>
      </c>
      <c r="G2121">
        <v>1068.4602</v>
      </c>
      <c r="I2121">
        <f t="shared" si="132"/>
        <v>0.8601331402616047</v>
      </c>
      <c r="J2121">
        <f t="shared" si="133"/>
        <v>0</v>
      </c>
      <c r="K2121">
        <f t="shared" si="134"/>
        <v>0</v>
      </c>
      <c r="L2121">
        <f t="shared" si="135"/>
        <v>0</v>
      </c>
    </row>
    <row r="2122" spans="1:12" x14ac:dyDescent="0.35">
      <c r="A2122" s="1" t="s">
        <v>30</v>
      </c>
      <c r="B2122">
        <v>2.44294E-2</v>
      </c>
      <c r="C2122">
        <v>1.0499000000000001E-3</v>
      </c>
      <c r="D2122">
        <v>0</v>
      </c>
      <c r="E2122">
        <v>0</v>
      </c>
      <c r="F2122">
        <v>0</v>
      </c>
      <c r="G2122">
        <f>1068.4602+0.0244294</f>
        <v>1068.4846293999999</v>
      </c>
      <c r="I2122">
        <f t="shared" si="132"/>
        <v>0.8601331402616047</v>
      </c>
      <c r="J2122">
        <f t="shared" si="133"/>
        <v>0</v>
      </c>
      <c r="K2122">
        <f t="shared" si="134"/>
        <v>0</v>
      </c>
      <c r="L2122">
        <f t="shared" si="135"/>
        <v>0</v>
      </c>
    </row>
    <row r="2123" spans="1:12" x14ac:dyDescent="0.35">
      <c r="A2123" s="1" t="s">
        <v>75</v>
      </c>
      <c r="B2123">
        <v>0.40000102700000001</v>
      </c>
      <c r="C2123">
        <v>5.2300999999999997E-3</v>
      </c>
      <c r="D2123">
        <v>-1.5815999999999999</v>
      </c>
      <c r="E2123">
        <v>0</v>
      </c>
      <c r="F2123">
        <v>0</v>
      </c>
      <c r="G2123">
        <v>1068.9550999999999</v>
      </c>
      <c r="I2123">
        <f t="shared" si="132"/>
        <v>0.26168536331815889</v>
      </c>
      <c r="J2123">
        <f t="shared" si="133"/>
        <v>-31.653898263125576</v>
      </c>
      <c r="K2123">
        <f t="shared" si="134"/>
        <v>0</v>
      </c>
      <c r="L2123">
        <f t="shared" si="135"/>
        <v>0</v>
      </c>
    </row>
    <row r="2124" spans="1:12" x14ac:dyDescent="0.35">
      <c r="A2124" s="1" t="s">
        <v>76</v>
      </c>
      <c r="B2124">
        <v>0.4975</v>
      </c>
      <c r="C2124">
        <v>0</v>
      </c>
      <c r="D2124">
        <v>4.61414189</v>
      </c>
      <c r="E2124">
        <v>0</v>
      </c>
      <c r="F2124">
        <v>0</v>
      </c>
      <c r="G2124">
        <v>1069.7166999999999</v>
      </c>
      <c r="I2124">
        <f t="shared" si="132"/>
        <v>0</v>
      </c>
      <c r="J2124">
        <f t="shared" si="133"/>
        <v>92.346723544313335</v>
      </c>
      <c r="K2124">
        <f t="shared" si="134"/>
        <v>0</v>
      </c>
      <c r="L2124">
        <f t="shared" si="135"/>
        <v>0</v>
      </c>
    </row>
    <row r="2125" spans="1:12" x14ac:dyDescent="0.35">
      <c r="A2125" s="1" t="s">
        <v>77</v>
      </c>
      <c r="B2125">
        <v>1.0280365199999999</v>
      </c>
      <c r="C2125">
        <v>2.4767999999999998E-2</v>
      </c>
      <c r="D2125">
        <v>-1.929</v>
      </c>
      <c r="E2125">
        <v>0</v>
      </c>
      <c r="F2125">
        <v>0</v>
      </c>
      <c r="G2125">
        <v>1070.8347000000001</v>
      </c>
      <c r="I2125">
        <f t="shared" si="132"/>
        <v>0.48218416286837618</v>
      </c>
      <c r="J2125">
        <f t="shared" si="133"/>
        <v>-38.606708238220314</v>
      </c>
      <c r="K2125">
        <f t="shared" si="134"/>
        <v>0</v>
      </c>
      <c r="L2125">
        <f t="shared" si="135"/>
        <v>0</v>
      </c>
    </row>
    <row r="2126" spans="1:12" x14ac:dyDescent="0.35">
      <c r="A2126" s="1" t="s">
        <v>78</v>
      </c>
      <c r="B2126">
        <v>0.3745</v>
      </c>
      <c r="C2126">
        <v>0</v>
      </c>
      <c r="D2126">
        <v>4.5116622</v>
      </c>
      <c r="E2126">
        <v>0</v>
      </c>
      <c r="F2126">
        <v>0</v>
      </c>
      <c r="G2126">
        <v>1071.2991999999999</v>
      </c>
      <c r="I2126">
        <f t="shared" si="132"/>
        <v>0</v>
      </c>
      <c r="J2126">
        <f t="shared" si="133"/>
        <v>90.29571084748946</v>
      </c>
      <c r="K2126">
        <f t="shared" si="134"/>
        <v>0</v>
      </c>
      <c r="L2126">
        <f t="shared" si="135"/>
        <v>0</v>
      </c>
    </row>
    <row r="2127" spans="1:12" x14ac:dyDescent="0.35">
      <c r="A2127" s="1" t="s">
        <v>35</v>
      </c>
      <c r="B2127">
        <v>0.41782941899999998</v>
      </c>
      <c r="C2127">
        <v>7.6290999999999998E-3</v>
      </c>
      <c r="D2127">
        <v>0</v>
      </c>
      <c r="E2127">
        <v>0</v>
      </c>
      <c r="F2127">
        <v>0</v>
      </c>
      <c r="G2127">
        <v>1071.8670999999999</v>
      </c>
      <c r="I2127">
        <f t="shared" si="132"/>
        <v>0.36543053893202671</v>
      </c>
      <c r="J2127">
        <f t="shared" si="133"/>
        <v>0</v>
      </c>
      <c r="K2127">
        <f t="shared" si="134"/>
        <v>0</v>
      </c>
      <c r="L2127">
        <f t="shared" si="135"/>
        <v>0</v>
      </c>
    </row>
    <row r="2128" spans="1:12" x14ac:dyDescent="0.35">
      <c r="A2128" s="1" t="s">
        <v>36</v>
      </c>
      <c r="B2128">
        <v>0.41782864199999997</v>
      </c>
      <c r="C2128">
        <v>5.4992000000000001E-3</v>
      </c>
      <c r="D2128">
        <v>0</v>
      </c>
      <c r="E2128">
        <v>0</v>
      </c>
      <c r="F2128">
        <v>0</v>
      </c>
      <c r="G2128">
        <v>1072.2849000000001</v>
      </c>
      <c r="I2128">
        <f t="shared" si="132"/>
        <v>0.26340975432619773</v>
      </c>
      <c r="J2128">
        <f t="shared" si="133"/>
        <v>0</v>
      </c>
      <c r="K2128">
        <f t="shared" si="134"/>
        <v>0</v>
      </c>
      <c r="L2128">
        <f t="shared" si="135"/>
        <v>0</v>
      </c>
    </row>
    <row r="2129" spans="1:12" x14ac:dyDescent="0.35">
      <c r="A2129" s="1" t="s">
        <v>37</v>
      </c>
      <c r="B2129">
        <v>0.41782827500000003</v>
      </c>
      <c r="C2129">
        <v>4.1392E-3</v>
      </c>
      <c r="D2129">
        <v>0</v>
      </c>
      <c r="E2129">
        <v>0</v>
      </c>
      <c r="F2129">
        <v>0</v>
      </c>
      <c r="G2129">
        <v>1072.7027</v>
      </c>
      <c r="I2129">
        <f t="shared" si="132"/>
        <v>0.19826640470947862</v>
      </c>
      <c r="J2129">
        <f t="shared" si="133"/>
        <v>0</v>
      </c>
      <c r="K2129">
        <f t="shared" si="134"/>
        <v>0</v>
      </c>
      <c r="L2129">
        <f t="shared" si="135"/>
        <v>0</v>
      </c>
    </row>
    <row r="2130" spans="1:12" x14ac:dyDescent="0.35">
      <c r="A2130" s="1" t="s">
        <v>38</v>
      </c>
      <c r="B2130">
        <v>0.41782808399999999</v>
      </c>
      <c r="C2130">
        <v>3.2192000000000002E-3</v>
      </c>
      <c r="D2130">
        <v>0</v>
      </c>
      <c r="E2130">
        <v>0</v>
      </c>
      <c r="F2130">
        <v>0</v>
      </c>
      <c r="G2130">
        <v>1073.1205</v>
      </c>
      <c r="I2130">
        <f t="shared" si="132"/>
        <v>0.15419875865034546</v>
      </c>
      <c r="J2130">
        <f t="shared" si="133"/>
        <v>0</v>
      </c>
      <c r="K2130">
        <f t="shared" si="134"/>
        <v>0</v>
      </c>
      <c r="L2130">
        <f t="shared" si="135"/>
        <v>0</v>
      </c>
    </row>
    <row r="2131" spans="1:12" x14ac:dyDescent="0.35">
      <c r="A2131" s="1" t="s">
        <v>39</v>
      </c>
      <c r="B2131">
        <v>0.41782794400000001</v>
      </c>
      <c r="C2131">
        <v>2.3392E-3</v>
      </c>
      <c r="D2131">
        <v>0</v>
      </c>
      <c r="E2131">
        <v>0</v>
      </c>
      <c r="F2131">
        <v>0</v>
      </c>
      <c r="G2131">
        <v>1073.5383999999999</v>
      </c>
      <c r="I2131">
        <f t="shared" si="132"/>
        <v>0.11204704805350077</v>
      </c>
      <c r="J2131">
        <f t="shared" si="133"/>
        <v>0</v>
      </c>
      <c r="K2131">
        <f t="shared" si="134"/>
        <v>0</v>
      </c>
      <c r="L2131">
        <f t="shared" si="135"/>
        <v>0</v>
      </c>
    </row>
    <row r="2132" spans="1:12" x14ac:dyDescent="0.35">
      <c r="A2132" s="1" t="s">
        <v>79</v>
      </c>
      <c r="B2132">
        <v>0.21199999999999999</v>
      </c>
      <c r="C2132">
        <v>0</v>
      </c>
      <c r="D2132">
        <v>-2.53358734</v>
      </c>
      <c r="E2132">
        <v>0</v>
      </c>
      <c r="F2132">
        <v>0</v>
      </c>
      <c r="G2132">
        <v>1073.7973999999999</v>
      </c>
      <c r="I2132">
        <f t="shared" si="132"/>
        <v>0</v>
      </c>
      <c r="J2132">
        <f t="shared" si="133"/>
        <v>-50.706825936458621</v>
      </c>
      <c r="K2132">
        <f t="shared" si="134"/>
        <v>0</v>
      </c>
      <c r="L2132">
        <f t="shared" si="135"/>
        <v>0</v>
      </c>
    </row>
    <row r="2133" spans="1:12" x14ac:dyDescent="0.35">
      <c r="A2133" s="1" t="s">
        <v>80</v>
      </c>
      <c r="B2133">
        <v>0.16600000000000001</v>
      </c>
      <c r="C2133">
        <v>0</v>
      </c>
      <c r="D2133">
        <v>0</v>
      </c>
      <c r="E2133">
        <v>-202.23429300000001</v>
      </c>
      <c r="F2133">
        <v>0</v>
      </c>
      <c r="G2133">
        <v>1074.0383999999999</v>
      </c>
      <c r="I2133">
        <f t="shared" si="132"/>
        <v>0</v>
      </c>
      <c r="J2133">
        <f t="shared" si="133"/>
        <v>0</v>
      </c>
      <c r="K2133">
        <f t="shared" si="134"/>
        <v>-4047.4859230760812</v>
      </c>
      <c r="L2133">
        <f t="shared" si="135"/>
        <v>0</v>
      </c>
    </row>
    <row r="2134" spans="1:12" x14ac:dyDescent="0.35">
      <c r="A2134" s="1" t="s">
        <v>81</v>
      </c>
      <c r="B2134">
        <v>0.09</v>
      </c>
      <c r="C2134">
        <v>0</v>
      </c>
      <c r="D2134">
        <v>0</v>
      </c>
      <c r="E2134">
        <v>0</v>
      </c>
      <c r="F2134">
        <v>-13632</v>
      </c>
      <c r="G2134">
        <v>1074.5791999999999</v>
      </c>
      <c r="I2134">
        <f t="shared" si="132"/>
        <v>0</v>
      </c>
      <c r="J2134">
        <f t="shared" si="133"/>
        <v>0</v>
      </c>
      <c r="K2134">
        <f t="shared" si="134"/>
        <v>0</v>
      </c>
      <c r="L2134">
        <f t="shared" si="135"/>
        <v>-272828.74375501258</v>
      </c>
    </row>
    <row r="2135" spans="1:12" x14ac:dyDescent="0.35">
      <c r="A2135" s="1" t="s">
        <v>82</v>
      </c>
      <c r="B2135">
        <v>0.21199999999999999</v>
      </c>
      <c r="C2135">
        <v>0</v>
      </c>
      <c r="D2135">
        <v>2.47240752</v>
      </c>
      <c r="E2135">
        <v>0</v>
      </c>
      <c r="F2135">
        <v>0</v>
      </c>
      <c r="G2135">
        <v>1074.8512000000001</v>
      </c>
      <c r="I2135">
        <f t="shared" si="132"/>
        <v>0</v>
      </c>
      <c r="J2135">
        <f t="shared" si="133"/>
        <v>49.48238246273813</v>
      </c>
      <c r="K2135">
        <f t="shared" si="134"/>
        <v>0</v>
      </c>
      <c r="L2135">
        <f t="shared" si="135"/>
        <v>0</v>
      </c>
    </row>
    <row r="2136" spans="1:12" x14ac:dyDescent="0.35">
      <c r="A2136" s="1" t="s">
        <v>83</v>
      </c>
      <c r="B2136">
        <v>0.1</v>
      </c>
      <c r="C2136">
        <v>0</v>
      </c>
      <c r="D2136">
        <v>0</v>
      </c>
      <c r="E2136">
        <v>172.62799999999999</v>
      </c>
      <c r="F2136">
        <v>0</v>
      </c>
      <c r="G2136">
        <v>1075.0262</v>
      </c>
      <c r="I2136">
        <f t="shared" si="132"/>
        <v>0</v>
      </c>
      <c r="J2136">
        <f t="shared" si="133"/>
        <v>0</v>
      </c>
      <c r="K2136">
        <f t="shared" si="134"/>
        <v>3454.9501450220296</v>
      </c>
      <c r="L2136">
        <f t="shared" si="135"/>
        <v>0</v>
      </c>
    </row>
    <row r="2137" spans="1:12" x14ac:dyDescent="0.35">
      <c r="A2137" s="1" t="s">
        <v>83</v>
      </c>
      <c r="B2137">
        <v>0.1</v>
      </c>
      <c r="C2137">
        <v>0</v>
      </c>
      <c r="D2137">
        <v>0</v>
      </c>
      <c r="E2137">
        <v>172.62799999999999</v>
      </c>
      <c r="F2137">
        <v>0</v>
      </c>
      <c r="G2137">
        <f>0.1+1075.0262</f>
        <v>1075.1261999999999</v>
      </c>
      <c r="I2137">
        <f t="shared" si="132"/>
        <v>0</v>
      </c>
      <c r="J2137">
        <f t="shared" si="133"/>
        <v>0</v>
      </c>
      <c r="K2137">
        <f t="shared" si="134"/>
        <v>3454.9501450220296</v>
      </c>
      <c r="L2137">
        <f t="shared" si="135"/>
        <v>0</v>
      </c>
    </row>
    <row r="2138" spans="1:12" x14ac:dyDescent="0.35">
      <c r="A2138" s="1" t="s">
        <v>84</v>
      </c>
      <c r="B2138">
        <v>0.21199999999999999</v>
      </c>
      <c r="C2138">
        <v>0</v>
      </c>
      <c r="D2138">
        <v>2.47240752</v>
      </c>
      <c r="E2138">
        <v>0</v>
      </c>
      <c r="F2138">
        <v>0</v>
      </c>
      <c r="G2138">
        <v>1075.4132</v>
      </c>
      <c r="I2138">
        <f t="shared" si="132"/>
        <v>0</v>
      </c>
      <c r="J2138">
        <f t="shared" si="133"/>
        <v>49.48238246273813</v>
      </c>
      <c r="K2138">
        <f t="shared" si="134"/>
        <v>0</v>
      </c>
      <c r="L2138">
        <f t="shared" si="135"/>
        <v>0</v>
      </c>
    </row>
    <row r="2139" spans="1:12" x14ac:dyDescent="0.35">
      <c r="A2139" s="1" t="s">
        <v>85</v>
      </c>
      <c r="B2139">
        <v>0.16600000000000001</v>
      </c>
      <c r="C2139">
        <v>0</v>
      </c>
      <c r="D2139">
        <v>0</v>
      </c>
      <c r="E2139">
        <v>-132.861086</v>
      </c>
      <c r="F2139">
        <v>0</v>
      </c>
      <c r="G2139">
        <v>1076.1801</v>
      </c>
      <c r="I2139">
        <f t="shared" si="132"/>
        <v>0</v>
      </c>
      <c r="J2139">
        <f t="shared" si="133"/>
        <v>0</v>
      </c>
      <c r="K2139">
        <f t="shared" si="134"/>
        <v>-2659.0612666744933</v>
      </c>
      <c r="L2139">
        <f t="shared" si="135"/>
        <v>0</v>
      </c>
    </row>
    <row r="2140" spans="1:12" x14ac:dyDescent="0.35">
      <c r="A2140" s="1" t="s">
        <v>86</v>
      </c>
      <c r="B2140">
        <v>0.21199999999999999</v>
      </c>
      <c r="C2140">
        <v>0</v>
      </c>
      <c r="D2140">
        <v>-2.3709669899999999</v>
      </c>
      <c r="E2140">
        <v>0</v>
      </c>
      <c r="F2140">
        <v>0</v>
      </c>
      <c r="G2140">
        <v>1076.4671000000001</v>
      </c>
      <c r="I2140">
        <f t="shared" si="132"/>
        <v>0</v>
      </c>
      <c r="J2140">
        <f t="shared" si="133"/>
        <v>-47.452167353748784</v>
      </c>
      <c r="K2140">
        <f t="shared" si="134"/>
        <v>0</v>
      </c>
      <c r="L2140">
        <f t="shared" si="135"/>
        <v>0</v>
      </c>
    </row>
    <row r="2141" spans="1:12" x14ac:dyDescent="0.35">
      <c r="A2141" s="1" t="s">
        <v>48</v>
      </c>
      <c r="B2141">
        <v>0.41782794400000001</v>
      </c>
      <c r="C2141">
        <v>2.3392E-3</v>
      </c>
      <c r="D2141">
        <v>0</v>
      </c>
      <c r="E2141">
        <v>0</v>
      </c>
      <c r="F2141">
        <v>0</v>
      </c>
      <c r="G2141">
        <v>1076.9319</v>
      </c>
      <c r="I2141">
        <f t="shared" si="132"/>
        <v>0.11204704805350077</v>
      </c>
      <c r="J2141">
        <f t="shared" si="133"/>
        <v>0</v>
      </c>
      <c r="K2141">
        <f t="shared" si="134"/>
        <v>0</v>
      </c>
      <c r="L2141">
        <f t="shared" si="135"/>
        <v>0</v>
      </c>
    </row>
    <row r="2142" spans="1:12" x14ac:dyDescent="0.35">
      <c r="A2142" s="1" t="s">
        <v>49</v>
      </c>
      <c r="B2142">
        <v>0.41782808399999999</v>
      </c>
      <c r="C2142">
        <v>3.2192000000000002E-3</v>
      </c>
      <c r="D2142">
        <v>0</v>
      </c>
      <c r="E2142">
        <v>0</v>
      </c>
      <c r="F2142">
        <v>0</v>
      </c>
      <c r="G2142">
        <v>1077.3497</v>
      </c>
      <c r="I2142">
        <f t="shared" si="132"/>
        <v>0.15419875865034546</v>
      </c>
      <c r="J2142">
        <f t="shared" si="133"/>
        <v>0</v>
      </c>
      <c r="K2142">
        <f t="shared" si="134"/>
        <v>0</v>
      </c>
      <c r="L2142">
        <f t="shared" si="135"/>
        <v>0</v>
      </c>
    </row>
    <row r="2143" spans="1:12" x14ac:dyDescent="0.35">
      <c r="A2143" s="1" t="s">
        <v>50</v>
      </c>
      <c r="B2143">
        <v>0.41782827500000003</v>
      </c>
      <c r="C2143">
        <v>4.1392E-3</v>
      </c>
      <c r="D2143">
        <v>0</v>
      </c>
      <c r="E2143">
        <v>0</v>
      </c>
      <c r="F2143">
        <v>0</v>
      </c>
      <c r="G2143">
        <v>1077.7675999999999</v>
      </c>
      <c r="I2143">
        <f t="shared" si="132"/>
        <v>0.19826640470947862</v>
      </c>
      <c r="J2143">
        <f t="shared" si="133"/>
        <v>0</v>
      </c>
      <c r="K2143">
        <f t="shared" si="134"/>
        <v>0</v>
      </c>
      <c r="L2143">
        <f t="shared" si="135"/>
        <v>0</v>
      </c>
    </row>
    <row r="2144" spans="1:12" x14ac:dyDescent="0.35">
      <c r="A2144" s="1" t="s">
        <v>51</v>
      </c>
      <c r="B2144">
        <v>0.41782864199999997</v>
      </c>
      <c r="C2144">
        <v>5.4992000000000001E-3</v>
      </c>
      <c r="D2144">
        <v>0</v>
      </c>
      <c r="E2144">
        <v>0</v>
      </c>
      <c r="F2144">
        <v>0</v>
      </c>
      <c r="G2144">
        <v>1078.1854000000001</v>
      </c>
      <c r="I2144">
        <f t="shared" si="132"/>
        <v>0.26340975432619773</v>
      </c>
      <c r="J2144">
        <f t="shared" si="133"/>
        <v>0</v>
      </c>
      <c r="K2144">
        <f t="shared" si="134"/>
        <v>0</v>
      </c>
      <c r="L2144">
        <f t="shared" si="135"/>
        <v>0</v>
      </c>
    </row>
    <row r="2145" spans="1:12" x14ac:dyDescent="0.35">
      <c r="A2145" s="1" t="s">
        <v>52</v>
      </c>
      <c r="B2145">
        <v>0.41783028900000002</v>
      </c>
      <c r="C2145">
        <v>9.4690999999999994E-3</v>
      </c>
      <c r="D2145">
        <v>0</v>
      </c>
      <c r="E2145">
        <v>0</v>
      </c>
      <c r="F2145">
        <v>0</v>
      </c>
      <c r="G2145">
        <v>1078.6032</v>
      </c>
      <c r="I2145">
        <f t="shared" si="132"/>
        <v>0.45356478630764774</v>
      </c>
      <c r="J2145">
        <f t="shared" si="133"/>
        <v>0</v>
      </c>
      <c r="K2145">
        <f t="shared" si="134"/>
        <v>0</v>
      </c>
      <c r="L2145">
        <f t="shared" si="135"/>
        <v>0</v>
      </c>
    </row>
    <row r="2146" spans="1:12" x14ac:dyDescent="0.35">
      <c r="A2146" s="1" t="s">
        <v>87</v>
      </c>
      <c r="B2146">
        <v>0.16200000000000001</v>
      </c>
      <c r="C2146">
        <v>0</v>
      </c>
      <c r="D2146">
        <v>-2.8698264299999998</v>
      </c>
      <c r="E2146">
        <v>0</v>
      </c>
      <c r="F2146">
        <v>0</v>
      </c>
      <c r="G2146">
        <v>1078.8122000000001</v>
      </c>
      <c r="I2146">
        <f t="shared" si="132"/>
        <v>0</v>
      </c>
      <c r="J2146">
        <f t="shared" si="133"/>
        <v>-57.436263181619168</v>
      </c>
      <c r="K2146">
        <f t="shared" si="134"/>
        <v>0</v>
      </c>
      <c r="L2146">
        <f t="shared" si="135"/>
        <v>0</v>
      </c>
    </row>
    <row r="2147" spans="1:12" x14ac:dyDescent="0.35">
      <c r="A2147" s="1" t="s">
        <v>54</v>
      </c>
      <c r="B2147">
        <v>0.1</v>
      </c>
      <c r="C2147">
        <v>0</v>
      </c>
      <c r="D2147">
        <v>0</v>
      </c>
      <c r="E2147">
        <v>0</v>
      </c>
      <c r="F2147">
        <v>0</v>
      </c>
      <c r="G2147">
        <v>1079.1422</v>
      </c>
      <c r="I2147">
        <f t="shared" si="132"/>
        <v>0</v>
      </c>
      <c r="J2147">
        <f t="shared" si="133"/>
        <v>0</v>
      </c>
      <c r="K2147">
        <f t="shared" si="134"/>
        <v>0</v>
      </c>
      <c r="L2147">
        <f t="shared" si="135"/>
        <v>0</v>
      </c>
    </row>
    <row r="2148" spans="1:12" x14ac:dyDescent="0.35">
      <c r="A2148" s="1" t="s">
        <v>88</v>
      </c>
      <c r="B2148">
        <v>0.29499999999999998</v>
      </c>
      <c r="C2148">
        <v>0</v>
      </c>
      <c r="D2148">
        <v>2.43875777</v>
      </c>
      <c r="E2148">
        <v>0</v>
      </c>
      <c r="F2148">
        <v>0</v>
      </c>
      <c r="G2148">
        <v>1079.5472</v>
      </c>
      <c r="I2148">
        <f t="shared" si="132"/>
        <v>0</v>
      </c>
      <c r="J2148">
        <f t="shared" si="133"/>
        <v>48.808921560436907</v>
      </c>
      <c r="K2148">
        <f t="shared" si="134"/>
        <v>0</v>
      </c>
      <c r="L2148">
        <f t="shared" si="135"/>
        <v>0</v>
      </c>
    </row>
    <row r="2149" spans="1:12" x14ac:dyDescent="0.35">
      <c r="A2149" s="1" t="s">
        <v>55</v>
      </c>
      <c r="B2149">
        <v>0.29499999999999998</v>
      </c>
      <c r="C2149">
        <v>0</v>
      </c>
      <c r="D2149">
        <v>2.4421863500000001</v>
      </c>
      <c r="E2149">
        <v>0</v>
      </c>
      <c r="F2149">
        <v>0</v>
      </c>
      <c r="G2149">
        <v>1085.5071</v>
      </c>
      <c r="I2149">
        <f t="shared" si="132"/>
        <v>0</v>
      </c>
      <c r="J2149">
        <f t="shared" si="133"/>
        <v>48.877540631318922</v>
      </c>
      <c r="K2149">
        <f t="shared" si="134"/>
        <v>0</v>
      </c>
      <c r="L2149">
        <f t="shared" si="135"/>
        <v>0</v>
      </c>
    </row>
    <row r="2150" spans="1:12" x14ac:dyDescent="0.35">
      <c r="A2150" s="1" t="s">
        <v>53</v>
      </c>
      <c r="B2150">
        <v>0.16200000000000001</v>
      </c>
      <c r="C2150">
        <v>0</v>
      </c>
      <c r="D2150">
        <v>-2.8403066199999998</v>
      </c>
      <c r="E2150">
        <v>0</v>
      </c>
      <c r="F2150">
        <v>0</v>
      </c>
      <c r="G2150">
        <v>1086.1090999999999</v>
      </c>
      <c r="I2150">
        <f t="shared" si="132"/>
        <v>0</v>
      </c>
      <c r="J2150">
        <f t="shared" si="133"/>
        <v>-56.845458260977544</v>
      </c>
      <c r="K2150">
        <f t="shared" si="134"/>
        <v>0</v>
      </c>
      <c r="L2150">
        <f t="shared" si="135"/>
        <v>0</v>
      </c>
    </row>
    <row r="2151" spans="1:12" x14ac:dyDescent="0.35">
      <c r="A2151" s="1" t="s">
        <v>58</v>
      </c>
      <c r="B2151">
        <v>0.41783028900000002</v>
      </c>
      <c r="C2151">
        <v>9.4690999999999994E-3</v>
      </c>
      <c r="D2151">
        <v>0</v>
      </c>
      <c r="E2151">
        <v>0</v>
      </c>
      <c r="F2151">
        <v>0</v>
      </c>
      <c r="G2151">
        <v>1086.5739000000001</v>
      </c>
      <c r="I2151">
        <f t="shared" si="132"/>
        <v>0.45356478630764774</v>
      </c>
      <c r="J2151">
        <f t="shared" si="133"/>
        <v>0</v>
      </c>
      <c r="K2151">
        <f t="shared" si="134"/>
        <v>0</v>
      </c>
      <c r="L2151">
        <f t="shared" si="135"/>
        <v>0</v>
      </c>
    </row>
    <row r="2152" spans="1:12" x14ac:dyDescent="0.35">
      <c r="A2152" s="1" t="s">
        <v>59</v>
      </c>
      <c r="B2152">
        <v>0.41782864199999997</v>
      </c>
      <c r="C2152">
        <v>5.4992000000000001E-3</v>
      </c>
      <c r="D2152">
        <v>0</v>
      </c>
      <c r="E2152">
        <v>0</v>
      </c>
      <c r="F2152">
        <v>0</v>
      </c>
      <c r="G2152">
        <v>1086.9917</v>
      </c>
      <c r="I2152">
        <f t="shared" si="132"/>
        <v>0.26340975432619773</v>
      </c>
      <c r="J2152">
        <f t="shared" si="133"/>
        <v>0</v>
      </c>
      <c r="K2152">
        <f t="shared" si="134"/>
        <v>0</v>
      </c>
      <c r="L2152">
        <f t="shared" si="135"/>
        <v>0</v>
      </c>
    </row>
    <row r="2153" spans="1:12" x14ac:dyDescent="0.35">
      <c r="A2153" s="1" t="s">
        <v>60</v>
      </c>
      <c r="B2153">
        <v>0.41782827500000003</v>
      </c>
      <c r="C2153">
        <v>4.1392E-3</v>
      </c>
      <c r="D2153">
        <v>0</v>
      </c>
      <c r="E2153">
        <v>0</v>
      </c>
      <c r="F2153">
        <v>0</v>
      </c>
      <c r="G2153">
        <v>1087.4095</v>
      </c>
      <c r="I2153">
        <f t="shared" si="132"/>
        <v>0.19826640470947862</v>
      </c>
      <c r="J2153">
        <f t="shared" si="133"/>
        <v>0</v>
      </c>
      <c r="K2153">
        <f t="shared" si="134"/>
        <v>0</v>
      </c>
      <c r="L2153">
        <f t="shared" si="135"/>
        <v>0</v>
      </c>
    </row>
    <row r="2154" spans="1:12" x14ac:dyDescent="0.35">
      <c r="A2154" s="1" t="s">
        <v>61</v>
      </c>
      <c r="B2154">
        <v>0.41782808399999999</v>
      </c>
      <c r="C2154">
        <v>3.2192000000000002E-3</v>
      </c>
      <c r="D2154">
        <v>0</v>
      </c>
      <c r="E2154">
        <v>0</v>
      </c>
      <c r="F2154">
        <v>0</v>
      </c>
      <c r="G2154">
        <v>1087.8273999999999</v>
      </c>
      <c r="I2154">
        <f t="shared" si="132"/>
        <v>0.15419875865034546</v>
      </c>
      <c r="J2154">
        <f t="shared" si="133"/>
        <v>0</v>
      </c>
      <c r="K2154">
        <f t="shared" si="134"/>
        <v>0</v>
      </c>
      <c r="L2154">
        <f t="shared" si="135"/>
        <v>0</v>
      </c>
    </row>
    <row r="2155" spans="1:12" x14ac:dyDescent="0.35">
      <c r="A2155" s="1" t="s">
        <v>62</v>
      </c>
      <c r="B2155">
        <v>0.41782794400000001</v>
      </c>
      <c r="C2155">
        <v>2.3392E-3</v>
      </c>
      <c r="D2155">
        <v>0</v>
      </c>
      <c r="E2155">
        <v>0</v>
      </c>
      <c r="F2155">
        <v>0</v>
      </c>
      <c r="G2155">
        <v>1088.2452000000001</v>
      </c>
      <c r="I2155">
        <f t="shared" si="132"/>
        <v>0.11204704805350077</v>
      </c>
      <c r="J2155">
        <f t="shared" si="133"/>
        <v>0</v>
      </c>
      <c r="K2155">
        <f t="shared" si="134"/>
        <v>0</v>
      </c>
      <c r="L2155">
        <f t="shared" si="135"/>
        <v>0</v>
      </c>
    </row>
    <row r="2156" spans="1:12" x14ac:dyDescent="0.35">
      <c r="A2156" s="1" t="s">
        <v>47</v>
      </c>
      <c r="B2156">
        <v>0.21199999999999999</v>
      </c>
      <c r="C2156">
        <v>0</v>
      </c>
      <c r="D2156">
        <v>-2.44067912</v>
      </c>
      <c r="E2156">
        <v>0</v>
      </c>
      <c r="F2156">
        <v>0</v>
      </c>
      <c r="G2156">
        <v>1088.5042000000001</v>
      </c>
      <c r="I2156">
        <f t="shared" si="132"/>
        <v>0</v>
      </c>
      <c r="J2156">
        <f t="shared" si="133"/>
        <v>-48.847375162755988</v>
      </c>
      <c r="K2156">
        <f t="shared" si="134"/>
        <v>0</v>
      </c>
      <c r="L2156">
        <f t="shared" si="135"/>
        <v>0</v>
      </c>
    </row>
    <row r="2157" spans="1:12" x14ac:dyDescent="0.35">
      <c r="A2157" s="1" t="s">
        <v>89</v>
      </c>
      <c r="B2157">
        <v>0.16600000000000001</v>
      </c>
      <c r="C2157">
        <v>0</v>
      </c>
      <c r="D2157">
        <v>0</v>
      </c>
      <c r="E2157">
        <v>-138.56074599999999</v>
      </c>
      <c r="F2157">
        <v>0</v>
      </c>
      <c r="G2157">
        <v>1088.7452000000001</v>
      </c>
      <c r="I2157">
        <f t="shared" si="132"/>
        <v>0</v>
      </c>
      <c r="J2157">
        <f t="shared" si="133"/>
        <v>0</v>
      </c>
      <c r="K2157">
        <f t="shared" si="134"/>
        <v>-2773.133382111017</v>
      </c>
      <c r="L2157">
        <f t="shared" si="135"/>
        <v>0</v>
      </c>
    </row>
    <row r="2158" spans="1:12" x14ac:dyDescent="0.35">
      <c r="A2158" s="1" t="s">
        <v>45</v>
      </c>
      <c r="B2158">
        <v>0.21199999999999999</v>
      </c>
      <c r="C2158">
        <v>0</v>
      </c>
      <c r="D2158">
        <v>2.6045379400000002</v>
      </c>
      <c r="E2158">
        <v>0</v>
      </c>
      <c r="F2158">
        <v>0</v>
      </c>
      <c r="G2158">
        <v>1089.5581</v>
      </c>
      <c r="I2158">
        <f t="shared" si="132"/>
        <v>0</v>
      </c>
      <c r="J2158">
        <f t="shared" si="133"/>
        <v>52.126820292874733</v>
      </c>
      <c r="K2158">
        <f t="shared" si="134"/>
        <v>0</v>
      </c>
      <c r="L2158">
        <f t="shared" si="135"/>
        <v>0</v>
      </c>
    </row>
    <row r="2159" spans="1:12" x14ac:dyDescent="0.35">
      <c r="A2159" s="1" t="s">
        <v>90</v>
      </c>
      <c r="B2159">
        <v>0.2</v>
      </c>
      <c r="C2159">
        <v>0</v>
      </c>
      <c r="D2159">
        <v>0</v>
      </c>
      <c r="E2159">
        <v>185.026839</v>
      </c>
      <c r="F2159">
        <v>0</v>
      </c>
      <c r="G2159">
        <v>1089.8331000000001</v>
      </c>
      <c r="I2159">
        <f t="shared" si="132"/>
        <v>0</v>
      </c>
      <c r="J2159">
        <f t="shared" si="133"/>
        <v>0</v>
      </c>
      <c r="K2159">
        <f t="shared" si="134"/>
        <v>3703.0985948746311</v>
      </c>
      <c r="L2159">
        <f t="shared" si="135"/>
        <v>0</v>
      </c>
    </row>
    <row r="2160" spans="1:12" x14ac:dyDescent="0.35">
      <c r="A2160" s="1" t="s">
        <v>16</v>
      </c>
      <c r="B2160">
        <v>0.21199999999999999</v>
      </c>
      <c r="C2160">
        <v>0</v>
      </c>
      <c r="D2160">
        <v>2.3358096499999998</v>
      </c>
      <c r="E2160">
        <v>0</v>
      </c>
      <c r="F2160">
        <v>0</v>
      </c>
      <c r="G2160">
        <v>1090.1201000000001</v>
      </c>
      <c r="I2160">
        <f t="shared" si="132"/>
        <v>0</v>
      </c>
      <c r="J2160">
        <f t="shared" si="133"/>
        <v>46.748533777900207</v>
      </c>
      <c r="K2160">
        <f t="shared" si="134"/>
        <v>0</v>
      </c>
      <c r="L2160">
        <f t="shared" si="135"/>
        <v>0</v>
      </c>
    </row>
    <row r="2161" spans="1:12" x14ac:dyDescent="0.35">
      <c r="A2161" s="1" t="s">
        <v>17</v>
      </c>
      <c r="B2161">
        <v>0.09</v>
      </c>
      <c r="C2161">
        <v>0</v>
      </c>
      <c r="D2161">
        <v>0</v>
      </c>
      <c r="E2161">
        <v>0</v>
      </c>
      <c r="F2161">
        <v>-13632</v>
      </c>
      <c r="G2161">
        <v>1090.2701</v>
      </c>
      <c r="I2161">
        <f t="shared" si="132"/>
        <v>0</v>
      </c>
      <c r="J2161">
        <f t="shared" si="133"/>
        <v>0</v>
      </c>
      <c r="K2161">
        <f t="shared" si="134"/>
        <v>0</v>
      </c>
      <c r="L2161">
        <f t="shared" si="135"/>
        <v>-272828.74375501258</v>
      </c>
    </row>
    <row r="2162" spans="1:12" x14ac:dyDescent="0.35">
      <c r="A2162" s="1" t="s">
        <v>91</v>
      </c>
      <c r="B2162">
        <v>0.16600000000000001</v>
      </c>
      <c r="C2162">
        <v>0</v>
      </c>
      <c r="D2162">
        <v>0</v>
      </c>
      <c r="E2162">
        <v>-216.27461400000001</v>
      </c>
      <c r="F2162">
        <v>0</v>
      </c>
      <c r="G2162">
        <v>1090.8869</v>
      </c>
      <c r="I2162">
        <f t="shared" si="132"/>
        <v>0</v>
      </c>
      <c r="J2162">
        <f t="shared" si="133"/>
        <v>0</v>
      </c>
      <c r="K2162">
        <f t="shared" si="134"/>
        <v>-4328.486740296381</v>
      </c>
      <c r="L2162">
        <f t="shared" si="135"/>
        <v>0</v>
      </c>
    </row>
    <row r="2163" spans="1:12" x14ac:dyDescent="0.35">
      <c r="A2163" s="1" t="s">
        <v>19</v>
      </c>
      <c r="B2163">
        <v>0.21199999999999999</v>
      </c>
      <c r="C2163">
        <v>0</v>
      </c>
      <c r="D2163">
        <v>-2.4448500700000002</v>
      </c>
      <c r="E2163">
        <v>0</v>
      </c>
      <c r="F2163">
        <v>0</v>
      </c>
      <c r="G2163">
        <v>1091.1739</v>
      </c>
      <c r="I2163">
        <f t="shared" si="132"/>
        <v>0</v>
      </c>
      <c r="J2163">
        <f t="shared" si="133"/>
        <v>-48.930851912225251</v>
      </c>
      <c r="K2163">
        <f t="shared" si="134"/>
        <v>0</v>
      </c>
      <c r="L2163">
        <f t="shared" si="135"/>
        <v>0</v>
      </c>
    </row>
    <row r="2164" spans="1:12" x14ac:dyDescent="0.35">
      <c r="A2164" s="1" t="s">
        <v>20</v>
      </c>
      <c r="B2164">
        <v>0.41782794400000001</v>
      </c>
      <c r="C2164">
        <v>2.3392E-3</v>
      </c>
      <c r="D2164">
        <v>0</v>
      </c>
      <c r="E2164">
        <v>0</v>
      </c>
      <c r="F2164">
        <v>0</v>
      </c>
      <c r="G2164">
        <v>1091.6387</v>
      </c>
      <c r="I2164">
        <f t="shared" si="132"/>
        <v>0.11204704805350077</v>
      </c>
      <c r="J2164">
        <f t="shared" si="133"/>
        <v>0</v>
      </c>
      <c r="K2164">
        <f t="shared" si="134"/>
        <v>0</v>
      </c>
      <c r="L2164">
        <f t="shared" si="135"/>
        <v>0</v>
      </c>
    </row>
    <row r="2165" spans="1:12" x14ac:dyDescent="0.35">
      <c r="A2165" s="1" t="s">
        <v>21</v>
      </c>
      <c r="B2165">
        <v>0.41782808399999999</v>
      </c>
      <c r="C2165">
        <v>3.2192000000000002E-3</v>
      </c>
      <c r="D2165">
        <v>0</v>
      </c>
      <c r="E2165">
        <v>0</v>
      </c>
      <c r="F2165">
        <v>0</v>
      </c>
      <c r="G2165">
        <v>1092.0565999999999</v>
      </c>
      <c r="I2165">
        <f t="shared" si="132"/>
        <v>0.15419875865034546</v>
      </c>
      <c r="J2165">
        <f t="shared" si="133"/>
        <v>0</v>
      </c>
      <c r="K2165">
        <f t="shared" si="134"/>
        <v>0</v>
      </c>
      <c r="L2165">
        <f t="shared" si="135"/>
        <v>0</v>
      </c>
    </row>
    <row r="2166" spans="1:12" x14ac:dyDescent="0.35">
      <c r="A2166" s="1" t="s">
        <v>22</v>
      </c>
      <c r="B2166">
        <v>0.41782827500000003</v>
      </c>
      <c r="C2166">
        <v>4.1392E-3</v>
      </c>
      <c r="D2166">
        <v>0</v>
      </c>
      <c r="E2166">
        <v>0</v>
      </c>
      <c r="F2166">
        <v>0</v>
      </c>
      <c r="G2166">
        <v>1092.4744000000001</v>
      </c>
      <c r="I2166">
        <f t="shared" si="132"/>
        <v>0.19826640470947862</v>
      </c>
      <c r="J2166">
        <f t="shared" si="133"/>
        <v>0</v>
      </c>
      <c r="K2166">
        <f t="shared" si="134"/>
        <v>0</v>
      </c>
      <c r="L2166">
        <f t="shared" si="135"/>
        <v>0</v>
      </c>
    </row>
    <row r="2167" spans="1:12" x14ac:dyDescent="0.35">
      <c r="A2167" s="1" t="s">
        <v>23</v>
      </c>
      <c r="B2167">
        <v>0.41782864199999997</v>
      </c>
      <c r="C2167">
        <v>5.4992000000000001E-3</v>
      </c>
      <c r="D2167">
        <v>0</v>
      </c>
      <c r="E2167">
        <v>0</v>
      </c>
      <c r="F2167">
        <v>0</v>
      </c>
      <c r="G2167">
        <v>1092.8922</v>
      </c>
      <c r="I2167">
        <f t="shared" si="132"/>
        <v>0.26340975432619773</v>
      </c>
      <c r="J2167">
        <f t="shared" si="133"/>
        <v>0</v>
      </c>
      <c r="K2167">
        <f t="shared" si="134"/>
        <v>0</v>
      </c>
      <c r="L2167">
        <f t="shared" si="135"/>
        <v>0</v>
      </c>
    </row>
    <row r="2168" spans="1:12" x14ac:dyDescent="0.35">
      <c r="A2168" s="1" t="s">
        <v>24</v>
      </c>
      <c r="B2168">
        <v>0.41782941899999998</v>
      </c>
      <c r="C2168">
        <v>7.6290999999999998E-3</v>
      </c>
      <c r="D2168">
        <v>0</v>
      </c>
      <c r="E2168">
        <v>0</v>
      </c>
      <c r="F2168">
        <v>0</v>
      </c>
      <c r="G2168">
        <v>1093.31</v>
      </c>
      <c r="I2168">
        <f t="shared" si="132"/>
        <v>0.36543053893202671</v>
      </c>
      <c r="J2168">
        <f t="shared" si="133"/>
        <v>0</v>
      </c>
      <c r="K2168">
        <f t="shared" si="134"/>
        <v>0</v>
      </c>
      <c r="L2168">
        <f t="shared" si="135"/>
        <v>0</v>
      </c>
    </row>
    <row r="2169" spans="1:12" x14ac:dyDescent="0.35">
      <c r="A2169" s="1" t="s">
        <v>25</v>
      </c>
      <c r="B2169">
        <v>0.3745</v>
      </c>
      <c r="C2169">
        <v>0</v>
      </c>
      <c r="D2169">
        <v>4.5062336500000004</v>
      </c>
      <c r="E2169">
        <v>0</v>
      </c>
      <c r="F2169">
        <v>0</v>
      </c>
      <c r="G2169">
        <v>1093.8344999999999</v>
      </c>
      <c r="I2169">
        <f t="shared" si="132"/>
        <v>0</v>
      </c>
      <c r="J2169">
        <f t="shared" si="133"/>
        <v>90.187064685744218</v>
      </c>
      <c r="K2169">
        <f t="shared" si="134"/>
        <v>0</v>
      </c>
      <c r="L2169">
        <f t="shared" si="135"/>
        <v>0</v>
      </c>
    </row>
    <row r="2170" spans="1:12" x14ac:dyDescent="0.35">
      <c r="A2170" s="1" t="s">
        <v>26</v>
      </c>
      <c r="B2170">
        <v>1.0280365199999999</v>
      </c>
      <c r="C2170">
        <v>2.4767999999999998E-2</v>
      </c>
      <c r="D2170">
        <v>-1.9377</v>
      </c>
      <c r="E2170">
        <v>0</v>
      </c>
      <c r="F2170">
        <v>0</v>
      </c>
      <c r="G2170">
        <v>1094.9526000000001</v>
      </c>
      <c r="I2170">
        <f t="shared" si="132"/>
        <v>0.48218416286837618</v>
      </c>
      <c r="J2170">
        <f t="shared" si="133"/>
        <v>-38.780828695282267</v>
      </c>
      <c r="K2170">
        <f t="shared" si="134"/>
        <v>0</v>
      </c>
      <c r="L2170">
        <f t="shared" si="135"/>
        <v>0</v>
      </c>
    </row>
    <row r="2171" spans="1:12" x14ac:dyDescent="0.35">
      <c r="A2171" s="1" t="s">
        <v>27</v>
      </c>
      <c r="B2171">
        <v>0.4975</v>
      </c>
      <c r="C2171">
        <v>0</v>
      </c>
      <c r="D2171">
        <v>4.6076894199999998</v>
      </c>
      <c r="E2171">
        <v>0</v>
      </c>
      <c r="F2171">
        <v>0</v>
      </c>
      <c r="G2171">
        <v>1095.5400999999999</v>
      </c>
      <c r="I2171">
        <f t="shared" si="132"/>
        <v>0</v>
      </c>
      <c r="J2171">
        <f t="shared" si="133"/>
        <v>92.217584805741083</v>
      </c>
      <c r="K2171">
        <f t="shared" si="134"/>
        <v>0</v>
      </c>
      <c r="L2171">
        <f t="shared" si="135"/>
        <v>0</v>
      </c>
    </row>
    <row r="2172" spans="1:12" x14ac:dyDescent="0.35">
      <c r="A2172" s="1" t="s">
        <v>28</v>
      </c>
      <c r="B2172">
        <v>0.1</v>
      </c>
      <c r="C2172">
        <v>0</v>
      </c>
      <c r="D2172">
        <v>0</v>
      </c>
      <c r="E2172">
        <v>0</v>
      </c>
      <c r="F2172">
        <v>0</v>
      </c>
      <c r="G2172">
        <v>1095.7112</v>
      </c>
      <c r="I2172">
        <f t="shared" si="132"/>
        <v>0</v>
      </c>
      <c r="J2172">
        <f t="shared" si="133"/>
        <v>0</v>
      </c>
      <c r="K2172">
        <f t="shared" si="134"/>
        <v>0</v>
      </c>
      <c r="L2172">
        <f t="shared" si="135"/>
        <v>0</v>
      </c>
    </row>
    <row r="2173" spans="1:12" x14ac:dyDescent="0.35">
      <c r="A2173" s="1" t="s">
        <v>29</v>
      </c>
      <c r="B2173">
        <v>0.40000102700000001</v>
      </c>
      <c r="C2173">
        <v>5.2300999999999997E-3</v>
      </c>
      <c r="D2173">
        <v>-1.5536000000000001</v>
      </c>
      <c r="E2173">
        <v>0</v>
      </c>
      <c r="F2173">
        <v>0</v>
      </c>
      <c r="G2173">
        <v>1096.2041999999999</v>
      </c>
      <c r="I2173">
        <f t="shared" si="132"/>
        <v>0.26168536331815889</v>
      </c>
      <c r="J2173">
        <f t="shared" si="133"/>
        <v>-31.09351058522503</v>
      </c>
      <c r="K2173">
        <f t="shared" si="134"/>
        <v>0</v>
      </c>
      <c r="L2173">
        <f t="shared" si="135"/>
        <v>0</v>
      </c>
    </row>
    <row r="2174" spans="1:12" x14ac:dyDescent="0.35">
      <c r="A2174" s="1" t="s">
        <v>30</v>
      </c>
      <c r="B2174">
        <v>2.44294E-2</v>
      </c>
      <c r="C2174">
        <v>1.0499000000000001E-3</v>
      </c>
      <c r="D2174">
        <v>0</v>
      </c>
      <c r="E2174">
        <v>0</v>
      </c>
      <c r="F2174">
        <v>0</v>
      </c>
      <c r="G2174">
        <v>1096.2991</v>
      </c>
      <c r="I2174">
        <f t="shared" si="132"/>
        <v>0.8601331402616047</v>
      </c>
      <c r="J2174">
        <f t="shared" si="133"/>
        <v>0</v>
      </c>
      <c r="K2174">
        <f t="shared" si="134"/>
        <v>0</v>
      </c>
      <c r="L2174">
        <f t="shared" si="135"/>
        <v>0</v>
      </c>
    </row>
    <row r="2175" spans="1:12" x14ac:dyDescent="0.35">
      <c r="A2175" s="1" t="s">
        <v>30</v>
      </c>
      <c r="B2175">
        <v>2.44294E-2</v>
      </c>
      <c r="C2175">
        <v>1.0499000000000001E-3</v>
      </c>
      <c r="D2175">
        <v>0</v>
      </c>
      <c r="E2175">
        <v>0</v>
      </c>
      <c r="F2175">
        <v>0</v>
      </c>
      <c r="G2175">
        <f>1096.2991+0.0244294</f>
        <v>1096.3235293999999</v>
      </c>
      <c r="I2175">
        <f t="shared" si="132"/>
        <v>0.8601331402616047</v>
      </c>
      <c r="J2175">
        <f t="shared" si="133"/>
        <v>0</v>
      </c>
      <c r="K2175">
        <f t="shared" si="134"/>
        <v>0</v>
      </c>
      <c r="L2175">
        <f t="shared" si="135"/>
        <v>0</v>
      </c>
    </row>
    <row r="2176" spans="1:12" x14ac:dyDescent="0.35">
      <c r="A2176" s="1" t="s">
        <v>31</v>
      </c>
      <c r="B2176">
        <v>0.40000102700000001</v>
      </c>
      <c r="C2176">
        <v>5.2300999999999997E-3</v>
      </c>
      <c r="D2176">
        <v>-1.5536000000000001</v>
      </c>
      <c r="E2176">
        <v>0</v>
      </c>
      <c r="F2176">
        <v>0</v>
      </c>
      <c r="G2176">
        <v>1096.7940000000001</v>
      </c>
      <c r="I2176">
        <f t="shared" si="132"/>
        <v>0.26168536331815889</v>
      </c>
      <c r="J2176">
        <f t="shared" si="133"/>
        <v>-31.09351058522503</v>
      </c>
      <c r="K2176">
        <f t="shared" si="134"/>
        <v>0</v>
      </c>
      <c r="L2176">
        <f t="shared" si="135"/>
        <v>0</v>
      </c>
    </row>
    <row r="2177" spans="1:12" x14ac:dyDescent="0.35">
      <c r="A2177" s="1" t="s">
        <v>32</v>
      </c>
      <c r="B2177">
        <v>0.4975</v>
      </c>
      <c r="C2177">
        <v>0</v>
      </c>
      <c r="D2177">
        <v>4.6076894199999998</v>
      </c>
      <c r="E2177">
        <v>0</v>
      </c>
      <c r="F2177">
        <v>0</v>
      </c>
      <c r="G2177">
        <v>1097.5555999999999</v>
      </c>
      <c r="I2177">
        <f t="shared" si="132"/>
        <v>0</v>
      </c>
      <c r="J2177">
        <f t="shared" si="133"/>
        <v>92.217584805741083</v>
      </c>
      <c r="K2177">
        <f t="shared" si="134"/>
        <v>0</v>
      </c>
      <c r="L2177">
        <f t="shared" si="135"/>
        <v>0</v>
      </c>
    </row>
    <row r="2178" spans="1:12" x14ac:dyDescent="0.35">
      <c r="A2178" s="1" t="s">
        <v>33</v>
      </c>
      <c r="B2178">
        <v>1.0280365199999999</v>
      </c>
      <c r="C2178">
        <v>2.4767999999999998E-2</v>
      </c>
      <c r="D2178">
        <v>-1.9377</v>
      </c>
      <c r="E2178">
        <v>0</v>
      </c>
      <c r="F2178">
        <v>0</v>
      </c>
      <c r="G2178">
        <v>1098.6736000000001</v>
      </c>
      <c r="I2178">
        <f t="shared" si="132"/>
        <v>0.48218416286837618</v>
      </c>
      <c r="J2178">
        <f t="shared" si="133"/>
        <v>-38.780828695282267</v>
      </c>
      <c r="K2178">
        <f t="shared" si="134"/>
        <v>0</v>
      </c>
      <c r="L2178">
        <f t="shared" si="135"/>
        <v>0</v>
      </c>
    </row>
    <row r="2179" spans="1:12" x14ac:dyDescent="0.35">
      <c r="A2179" s="1" t="s">
        <v>34</v>
      </c>
      <c r="B2179">
        <v>0.3745</v>
      </c>
      <c r="C2179">
        <v>0</v>
      </c>
      <c r="D2179">
        <v>4.5062336500000004</v>
      </c>
      <c r="E2179">
        <v>0</v>
      </c>
      <c r="F2179">
        <v>0</v>
      </c>
      <c r="G2179">
        <v>1099.1380999999999</v>
      </c>
      <c r="I2179">
        <f t="shared" si="132"/>
        <v>0</v>
      </c>
      <c r="J2179">
        <f t="shared" si="133"/>
        <v>90.187064685744218</v>
      </c>
      <c r="K2179">
        <f t="shared" si="134"/>
        <v>0</v>
      </c>
      <c r="L2179">
        <f t="shared" si="135"/>
        <v>0</v>
      </c>
    </row>
    <row r="2180" spans="1:12" x14ac:dyDescent="0.35">
      <c r="A2180" s="1" t="s">
        <v>35</v>
      </c>
      <c r="B2180">
        <v>0.41782941899999998</v>
      </c>
      <c r="C2180">
        <v>7.6290999999999998E-3</v>
      </c>
      <c r="D2180">
        <v>0</v>
      </c>
      <c r="E2180">
        <v>0</v>
      </c>
      <c r="F2180">
        <v>0</v>
      </c>
      <c r="G2180">
        <v>1099.7059999999999</v>
      </c>
      <c r="I2180">
        <f t="shared" ref="I2180:I2203" si="136">$H$2*$C2180/$B2180</f>
        <v>0.36543053893202671</v>
      </c>
      <c r="J2180">
        <f t="shared" ref="J2180:J2203" si="137">$H$2*$D2180</f>
        <v>0</v>
      </c>
      <c r="K2180">
        <f t="shared" ref="K2180:K2203" si="138">$H$2*$E2180</f>
        <v>0</v>
      </c>
      <c r="L2180">
        <f t="shared" ref="L2180:L2203" si="139">$H$2*$F2180</f>
        <v>0</v>
      </c>
    </row>
    <row r="2181" spans="1:12" x14ac:dyDescent="0.35">
      <c r="A2181" s="1" t="s">
        <v>36</v>
      </c>
      <c r="B2181">
        <v>0.41782864199999997</v>
      </c>
      <c r="C2181">
        <v>5.4992000000000001E-3</v>
      </c>
      <c r="D2181">
        <v>0</v>
      </c>
      <c r="E2181">
        <v>0</v>
      </c>
      <c r="F2181">
        <v>0</v>
      </c>
      <c r="G2181">
        <v>1100.1238000000001</v>
      </c>
      <c r="I2181">
        <f t="shared" si="136"/>
        <v>0.26340975432619773</v>
      </c>
      <c r="J2181">
        <f t="shared" si="137"/>
        <v>0</v>
      </c>
      <c r="K2181">
        <f t="shared" si="138"/>
        <v>0</v>
      </c>
      <c r="L2181">
        <f t="shared" si="139"/>
        <v>0</v>
      </c>
    </row>
    <row r="2182" spans="1:12" x14ac:dyDescent="0.35">
      <c r="A2182" s="1" t="s">
        <v>37</v>
      </c>
      <c r="B2182">
        <v>0.41782827500000003</v>
      </c>
      <c r="C2182">
        <v>4.1392E-3</v>
      </c>
      <c r="D2182">
        <v>0</v>
      </c>
      <c r="E2182">
        <v>0</v>
      </c>
      <c r="F2182">
        <v>0</v>
      </c>
      <c r="G2182">
        <v>1100.5416</v>
      </c>
      <c r="I2182">
        <f t="shared" si="136"/>
        <v>0.19826640470947862</v>
      </c>
      <c r="J2182">
        <f t="shared" si="137"/>
        <v>0</v>
      </c>
      <c r="K2182">
        <f t="shared" si="138"/>
        <v>0</v>
      </c>
      <c r="L2182">
        <f t="shared" si="139"/>
        <v>0</v>
      </c>
    </row>
    <row r="2183" spans="1:12" x14ac:dyDescent="0.35">
      <c r="A2183" s="1" t="s">
        <v>38</v>
      </c>
      <c r="B2183">
        <v>0.41782808399999999</v>
      </c>
      <c r="C2183">
        <v>3.2192000000000002E-3</v>
      </c>
      <c r="D2183">
        <v>0</v>
      </c>
      <c r="E2183">
        <v>0</v>
      </c>
      <c r="F2183">
        <v>0</v>
      </c>
      <c r="G2183">
        <v>1100.9594</v>
      </c>
      <c r="I2183">
        <f t="shared" si="136"/>
        <v>0.15419875865034546</v>
      </c>
      <c r="J2183">
        <f t="shared" si="137"/>
        <v>0</v>
      </c>
      <c r="K2183">
        <f t="shared" si="138"/>
        <v>0</v>
      </c>
      <c r="L2183">
        <f t="shared" si="139"/>
        <v>0</v>
      </c>
    </row>
    <row r="2184" spans="1:12" x14ac:dyDescent="0.35">
      <c r="A2184" s="1" t="s">
        <v>39</v>
      </c>
      <c r="B2184">
        <v>0.41782794400000001</v>
      </c>
      <c r="C2184">
        <v>2.3392E-3</v>
      </c>
      <c r="D2184">
        <v>0</v>
      </c>
      <c r="E2184">
        <v>0</v>
      </c>
      <c r="F2184">
        <v>0</v>
      </c>
      <c r="G2184">
        <v>1101.3773000000001</v>
      </c>
      <c r="I2184">
        <f t="shared" si="136"/>
        <v>0.11204704805350077</v>
      </c>
      <c r="J2184">
        <f t="shared" si="137"/>
        <v>0</v>
      </c>
      <c r="K2184">
        <f t="shared" si="138"/>
        <v>0</v>
      </c>
      <c r="L2184">
        <f t="shared" si="139"/>
        <v>0</v>
      </c>
    </row>
    <row r="2185" spans="1:12" x14ac:dyDescent="0.35">
      <c r="A2185" s="1" t="s">
        <v>40</v>
      </c>
      <c r="B2185">
        <v>0.21199999999999999</v>
      </c>
      <c r="C2185">
        <v>0</v>
      </c>
      <c r="D2185">
        <v>-2.4448500700000002</v>
      </c>
      <c r="E2185">
        <v>0</v>
      </c>
      <c r="F2185">
        <v>0</v>
      </c>
      <c r="G2185">
        <v>1101.6362999999999</v>
      </c>
      <c r="I2185">
        <f t="shared" si="136"/>
        <v>0</v>
      </c>
      <c r="J2185">
        <f t="shared" si="137"/>
        <v>-48.930851912225251</v>
      </c>
      <c r="K2185">
        <f t="shared" si="138"/>
        <v>0</v>
      </c>
      <c r="L2185">
        <f t="shared" si="139"/>
        <v>0</v>
      </c>
    </row>
    <row r="2186" spans="1:12" x14ac:dyDescent="0.35">
      <c r="A2186" s="1" t="s">
        <v>92</v>
      </c>
      <c r="B2186">
        <v>0.16600000000000001</v>
      </c>
      <c r="C2186">
        <v>0</v>
      </c>
      <c r="D2186">
        <v>0</v>
      </c>
      <c r="E2186">
        <v>-207.87980999999999</v>
      </c>
      <c r="F2186">
        <v>0</v>
      </c>
      <c r="G2186">
        <v>1101.8773000000001</v>
      </c>
      <c r="I2186">
        <f t="shared" si="136"/>
        <v>0</v>
      </c>
      <c r="J2186">
        <f t="shared" si="137"/>
        <v>0</v>
      </c>
      <c r="K2186">
        <f t="shared" si="138"/>
        <v>-4160.4744288681559</v>
      </c>
      <c r="L2186">
        <f t="shared" si="139"/>
        <v>0</v>
      </c>
    </row>
    <row r="2187" spans="1:12" x14ac:dyDescent="0.35">
      <c r="A2187" s="1" t="s">
        <v>42</v>
      </c>
      <c r="B2187">
        <v>0.09</v>
      </c>
      <c r="C2187">
        <v>0</v>
      </c>
      <c r="D2187">
        <v>0</v>
      </c>
      <c r="E2187">
        <v>0</v>
      </c>
      <c r="F2187">
        <v>-13632</v>
      </c>
      <c r="G2187">
        <v>1102.4181000000001</v>
      </c>
      <c r="I2187">
        <f t="shared" si="136"/>
        <v>0</v>
      </c>
      <c r="J2187">
        <f t="shared" si="137"/>
        <v>0</v>
      </c>
      <c r="K2187">
        <f t="shared" si="138"/>
        <v>0</v>
      </c>
      <c r="L2187">
        <f t="shared" si="139"/>
        <v>-272828.74375501258</v>
      </c>
    </row>
    <row r="2188" spans="1:12" x14ac:dyDescent="0.35">
      <c r="A2188" s="1" t="s">
        <v>43</v>
      </c>
      <c r="B2188">
        <v>0.21199999999999999</v>
      </c>
      <c r="C2188">
        <v>0</v>
      </c>
      <c r="D2188">
        <v>2.3358096499999998</v>
      </c>
      <c r="E2188">
        <v>0</v>
      </c>
      <c r="F2188">
        <v>0</v>
      </c>
      <c r="G2188">
        <v>1102.6901</v>
      </c>
      <c r="I2188">
        <f t="shared" si="136"/>
        <v>0</v>
      </c>
      <c r="J2188">
        <f t="shared" si="137"/>
        <v>46.748533777900207</v>
      </c>
      <c r="K2188">
        <f t="shared" si="138"/>
        <v>0</v>
      </c>
      <c r="L2188">
        <f t="shared" si="139"/>
        <v>0</v>
      </c>
    </row>
    <row r="2189" spans="1:12" x14ac:dyDescent="0.35">
      <c r="A2189" s="1" t="s">
        <v>93</v>
      </c>
      <c r="B2189">
        <v>0.2</v>
      </c>
      <c r="C2189">
        <v>0</v>
      </c>
      <c r="D2189">
        <v>0</v>
      </c>
      <c r="E2189">
        <v>185.53535500000001</v>
      </c>
      <c r="F2189">
        <v>0</v>
      </c>
      <c r="G2189">
        <v>1102.9650999999999</v>
      </c>
      <c r="I2189">
        <f t="shared" si="136"/>
        <v>0</v>
      </c>
      <c r="J2189">
        <f t="shared" si="137"/>
        <v>0</v>
      </c>
      <c r="K2189">
        <f t="shared" si="138"/>
        <v>3713.2759556037481</v>
      </c>
      <c r="L2189">
        <f t="shared" si="139"/>
        <v>0</v>
      </c>
    </row>
    <row r="2190" spans="1:12" x14ac:dyDescent="0.35">
      <c r="A2190" s="1" t="s">
        <v>94</v>
      </c>
      <c r="B2190">
        <v>0.21199999999999999</v>
      </c>
      <c r="C2190">
        <v>0</v>
      </c>
      <c r="D2190">
        <v>2.6705977600000002</v>
      </c>
      <c r="E2190">
        <v>0</v>
      </c>
      <c r="F2190">
        <v>0</v>
      </c>
      <c r="G2190">
        <v>1103.2520999999999</v>
      </c>
      <c r="I2190">
        <f t="shared" si="136"/>
        <v>0</v>
      </c>
      <c r="J2190">
        <f t="shared" si="137"/>
        <v>53.448931333315045</v>
      </c>
      <c r="K2190">
        <f t="shared" si="138"/>
        <v>0</v>
      </c>
      <c r="L2190">
        <f t="shared" si="139"/>
        <v>0</v>
      </c>
    </row>
    <row r="2191" spans="1:12" x14ac:dyDescent="0.35">
      <c r="A2191" s="1" t="s">
        <v>95</v>
      </c>
      <c r="B2191">
        <v>0.44</v>
      </c>
      <c r="C2191">
        <v>1.7410342999999999E-3</v>
      </c>
      <c r="D2191">
        <v>0</v>
      </c>
      <c r="E2191">
        <v>0</v>
      </c>
      <c r="F2191">
        <v>0</v>
      </c>
      <c r="G2191">
        <v>1103.7731000000001</v>
      </c>
      <c r="I2191">
        <f t="shared" si="136"/>
        <v>7.9192708483946134E-2</v>
      </c>
      <c r="J2191">
        <f t="shared" si="137"/>
        <v>0</v>
      </c>
      <c r="K2191">
        <f t="shared" si="138"/>
        <v>0</v>
      </c>
      <c r="L2191">
        <f t="shared" si="139"/>
        <v>0</v>
      </c>
    </row>
    <row r="2192" spans="1:12" x14ac:dyDescent="0.35">
      <c r="A2192" s="1" t="s">
        <v>96</v>
      </c>
      <c r="B2192">
        <v>0.16600000000000001</v>
      </c>
      <c r="C2192">
        <v>0</v>
      </c>
      <c r="D2192">
        <v>0</v>
      </c>
      <c r="E2192">
        <v>-142.681815</v>
      </c>
      <c r="F2192">
        <v>0</v>
      </c>
      <c r="G2192">
        <v>1104.019</v>
      </c>
      <c r="I2192">
        <f t="shared" si="136"/>
        <v>0</v>
      </c>
      <c r="J2192">
        <f t="shared" si="137"/>
        <v>0</v>
      </c>
      <c r="K2192">
        <f t="shared" si="138"/>
        <v>-2855.6118209459441</v>
      </c>
      <c r="L2192">
        <f t="shared" si="139"/>
        <v>0</v>
      </c>
    </row>
    <row r="2193" spans="1:12" x14ac:dyDescent="0.35">
      <c r="A2193" s="1" t="s">
        <v>97</v>
      </c>
      <c r="B2193">
        <v>0.29499999999999998</v>
      </c>
      <c r="C2193">
        <v>0</v>
      </c>
      <c r="D2193">
        <v>-2.7391252700000002</v>
      </c>
      <c r="E2193">
        <v>0</v>
      </c>
      <c r="F2193">
        <v>0</v>
      </c>
      <c r="G2193">
        <v>1104.3889999999999</v>
      </c>
      <c r="I2193">
        <f t="shared" si="136"/>
        <v>0</v>
      </c>
      <c r="J2193">
        <f t="shared" si="137"/>
        <v>-54.820430340501005</v>
      </c>
      <c r="K2193">
        <f t="shared" si="138"/>
        <v>0</v>
      </c>
      <c r="L2193">
        <f t="shared" si="139"/>
        <v>0</v>
      </c>
    </row>
    <row r="2194" spans="1:12" x14ac:dyDescent="0.35">
      <c r="A2194" s="1" t="s">
        <v>98</v>
      </c>
      <c r="B2194">
        <v>0.41782847699999998</v>
      </c>
      <c r="C2194">
        <v>4.9332000000000004E-3</v>
      </c>
      <c r="D2194">
        <v>0</v>
      </c>
      <c r="E2194">
        <v>0</v>
      </c>
      <c r="F2194">
        <v>0</v>
      </c>
      <c r="G2194">
        <v>1104.8538000000001</v>
      </c>
      <c r="I2194">
        <f t="shared" si="136"/>
        <v>0.23629864583840202</v>
      </c>
      <c r="J2194">
        <f t="shared" si="137"/>
        <v>0</v>
      </c>
      <c r="K2194">
        <f t="shared" si="138"/>
        <v>0</v>
      </c>
      <c r="L2194">
        <f t="shared" si="139"/>
        <v>0</v>
      </c>
    </row>
    <row r="2195" spans="1:12" x14ac:dyDescent="0.35">
      <c r="A2195" s="1" t="s">
        <v>99</v>
      </c>
      <c r="B2195">
        <v>0.21199999999999999</v>
      </c>
      <c r="C2195">
        <v>0</v>
      </c>
      <c r="D2195">
        <v>2.2396495000000001</v>
      </c>
      <c r="E2195">
        <v>0</v>
      </c>
      <c r="F2195">
        <v>0</v>
      </c>
      <c r="G2195">
        <v>1105.1128000000001</v>
      </c>
      <c r="I2195">
        <f t="shared" si="136"/>
        <v>0</v>
      </c>
      <c r="J2195">
        <f t="shared" si="137"/>
        <v>44.82399937914775</v>
      </c>
      <c r="K2195">
        <f t="shared" si="138"/>
        <v>0</v>
      </c>
      <c r="L2195">
        <f t="shared" si="139"/>
        <v>0</v>
      </c>
    </row>
    <row r="2196" spans="1:12" x14ac:dyDescent="0.35">
      <c r="A2196" s="1" t="s">
        <v>100</v>
      </c>
      <c r="B2196">
        <v>0.41782847699999998</v>
      </c>
      <c r="C2196">
        <v>4.9332000000000004E-3</v>
      </c>
      <c r="D2196">
        <v>0</v>
      </c>
      <c r="E2196">
        <v>0</v>
      </c>
      <c r="F2196">
        <v>0</v>
      </c>
      <c r="G2196">
        <v>1105.6576</v>
      </c>
      <c r="I2196">
        <f t="shared" si="136"/>
        <v>0.23629864583840202</v>
      </c>
      <c r="J2196">
        <f t="shared" si="137"/>
        <v>0</v>
      </c>
      <c r="K2196">
        <f t="shared" si="138"/>
        <v>0</v>
      </c>
      <c r="L2196">
        <f t="shared" si="139"/>
        <v>0</v>
      </c>
    </row>
    <row r="2197" spans="1:12" x14ac:dyDescent="0.35">
      <c r="A2197" s="1" t="s">
        <v>101</v>
      </c>
      <c r="B2197">
        <v>0.41782847699999998</v>
      </c>
      <c r="C2197">
        <v>4.9332000000000004E-3</v>
      </c>
      <c r="D2197">
        <v>0</v>
      </c>
      <c r="E2197">
        <v>0</v>
      </c>
      <c r="F2197">
        <v>0</v>
      </c>
      <c r="G2197">
        <v>1106.0754999999999</v>
      </c>
      <c r="I2197">
        <f t="shared" si="136"/>
        <v>0.23629864583840202</v>
      </c>
      <c r="J2197">
        <f t="shared" si="137"/>
        <v>0</v>
      </c>
      <c r="K2197">
        <f t="shared" si="138"/>
        <v>0</v>
      </c>
      <c r="L2197">
        <f t="shared" si="139"/>
        <v>0</v>
      </c>
    </row>
    <row r="2198" spans="1:12" x14ac:dyDescent="0.35">
      <c r="A2198" s="1" t="s">
        <v>102</v>
      </c>
      <c r="B2198">
        <v>0.41782847699999998</v>
      </c>
      <c r="C2198">
        <v>4.9332000000000004E-3</v>
      </c>
      <c r="D2198">
        <v>0</v>
      </c>
      <c r="E2198">
        <v>0</v>
      </c>
      <c r="F2198">
        <v>0</v>
      </c>
      <c r="G2198">
        <v>1106.4933000000001</v>
      </c>
      <c r="I2198">
        <f t="shared" si="136"/>
        <v>0.23629864583840202</v>
      </c>
      <c r="J2198">
        <f t="shared" si="137"/>
        <v>0</v>
      </c>
      <c r="K2198">
        <f t="shared" si="138"/>
        <v>0</v>
      </c>
      <c r="L2198">
        <f t="shared" si="139"/>
        <v>0</v>
      </c>
    </row>
    <row r="2199" spans="1:12" x14ac:dyDescent="0.35">
      <c r="A2199" s="1" t="s">
        <v>103</v>
      </c>
      <c r="B2199">
        <v>0.41782847699999998</v>
      </c>
      <c r="C2199">
        <v>4.9332000000000004E-3</v>
      </c>
      <c r="D2199">
        <v>0</v>
      </c>
      <c r="E2199">
        <v>0</v>
      </c>
      <c r="F2199">
        <v>0</v>
      </c>
      <c r="G2199">
        <v>1106.9111</v>
      </c>
      <c r="I2199">
        <f t="shared" si="136"/>
        <v>0.23629864583840202</v>
      </c>
      <c r="J2199">
        <f t="shared" si="137"/>
        <v>0</v>
      </c>
      <c r="K2199">
        <f t="shared" si="138"/>
        <v>0</v>
      </c>
      <c r="L2199">
        <f t="shared" si="139"/>
        <v>0</v>
      </c>
    </row>
    <row r="2200" spans="1:12" x14ac:dyDescent="0.35">
      <c r="A2200" s="1" t="s">
        <v>104</v>
      </c>
      <c r="B2200">
        <v>0.21199999999999999</v>
      </c>
      <c r="C2200">
        <v>0</v>
      </c>
      <c r="D2200">
        <v>-1.22769416</v>
      </c>
      <c r="E2200">
        <v>0</v>
      </c>
      <c r="F2200">
        <v>0</v>
      </c>
      <c r="G2200">
        <v>1107.1701</v>
      </c>
      <c r="I2200">
        <f t="shared" si="136"/>
        <v>0</v>
      </c>
      <c r="J2200">
        <f t="shared" si="137"/>
        <v>-24.570881410516829</v>
      </c>
      <c r="K2200">
        <f t="shared" si="138"/>
        <v>0</v>
      </c>
      <c r="L2200">
        <f t="shared" si="139"/>
        <v>0</v>
      </c>
    </row>
    <row r="2201" spans="1:12" x14ac:dyDescent="0.35">
      <c r="A2201" s="1" t="s">
        <v>105</v>
      </c>
      <c r="B2201">
        <v>0.44</v>
      </c>
      <c r="C2201">
        <v>1.74327046E-3</v>
      </c>
      <c r="D2201">
        <v>0</v>
      </c>
      <c r="E2201">
        <v>0</v>
      </c>
      <c r="F2201">
        <v>0</v>
      </c>
      <c r="G2201">
        <v>1107.7591</v>
      </c>
      <c r="I2201">
        <f t="shared" si="136"/>
        <v>7.9294422486366131E-2</v>
      </c>
      <c r="J2201">
        <f t="shared" si="137"/>
        <v>0</v>
      </c>
      <c r="K2201">
        <f t="shared" si="138"/>
        <v>0</v>
      </c>
      <c r="L2201">
        <f t="shared" si="139"/>
        <v>0</v>
      </c>
    </row>
    <row r="2202" spans="1:12" x14ac:dyDescent="0.35">
      <c r="A2202" s="1" t="s">
        <v>54</v>
      </c>
      <c r="B2202">
        <v>0.1</v>
      </c>
      <c r="C2202">
        <v>0</v>
      </c>
      <c r="D2202">
        <v>0</v>
      </c>
      <c r="E2202">
        <v>0</v>
      </c>
      <c r="F2202">
        <v>0</v>
      </c>
      <c r="G2202">
        <v>1107.8901000000001</v>
      </c>
      <c r="I2202">
        <f t="shared" si="136"/>
        <v>0</v>
      </c>
      <c r="J2202">
        <f t="shared" si="137"/>
        <v>0</v>
      </c>
      <c r="K2202">
        <f t="shared" si="138"/>
        <v>0</v>
      </c>
      <c r="L2202">
        <f t="shared" si="139"/>
        <v>0</v>
      </c>
    </row>
    <row r="2203" spans="1:12" x14ac:dyDescent="0.35">
      <c r="A2203" s="1" t="s">
        <v>106</v>
      </c>
      <c r="B2203">
        <v>0.21199999999999999</v>
      </c>
      <c r="C2203">
        <v>0</v>
      </c>
      <c r="D2203">
        <v>1.52550717</v>
      </c>
      <c r="E2203">
        <v>0</v>
      </c>
      <c r="F2203">
        <v>0</v>
      </c>
      <c r="G2203">
        <v>1109.1886</v>
      </c>
      <c r="I2203">
        <f t="shared" si="136"/>
        <v>0</v>
      </c>
      <c r="J2203">
        <f t="shared" si="137"/>
        <v>30.531265022033775</v>
      </c>
      <c r="K2203">
        <f t="shared" si="138"/>
        <v>0</v>
      </c>
      <c r="L2203">
        <f t="shared" si="139"/>
        <v>0</v>
      </c>
    </row>
    <row r="2204" spans="1:12" x14ac:dyDescent="0.35">
      <c r="A2204" s="1" t="s">
        <v>107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1110.0885154692301</v>
      </c>
      <c r="I2204">
        <v>0</v>
      </c>
      <c r="J2204">
        <v>0</v>
      </c>
      <c r="K2204">
        <v>0</v>
      </c>
      <c r="L2204">
        <f>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Лист1!RING2xlx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Dyubkov</dc:creator>
  <cp:lastModifiedBy>Dyubkov</cp:lastModifiedBy>
  <dcterms:created xsi:type="dcterms:W3CDTF">2026-06-17T20:22:37Z</dcterms:created>
  <dcterms:modified xsi:type="dcterms:W3CDTF">2026-06-17T21:10:51Z</dcterms:modified>
</cp:coreProperties>
</file>